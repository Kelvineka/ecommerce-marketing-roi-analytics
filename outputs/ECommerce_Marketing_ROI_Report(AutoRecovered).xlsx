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Kelvin\Desktop\nba\"/>
    </mc:Choice>
  </mc:AlternateContent>
  <xr:revisionPtr revIDLastSave="0" documentId="13_ncr:1_{28EAAAC9-C905-4F5B-828D-B9743AB2C2C0}" xr6:coauthVersionLast="47" xr6:coauthVersionMax="47" xr10:uidLastSave="{00000000-0000-0000-0000-000000000000}"/>
  <bookViews>
    <workbookView xWindow="-120" yWindow="-120" windowWidth="20730" windowHeight="11310" tabRatio="500" firstSheet="1" activeTab="3" xr2:uid="{00000000-000D-0000-FFFF-FFFF00000000}"/>
  </bookViews>
  <sheets>
    <sheet name="Executive Summary" sheetId="1" r:id="rId1"/>
    <sheet name="Revenue Trends" sheetId="2" r:id="rId2"/>
    <sheet name="Campaign &amp; Channel ROI" sheetId="3" r:id="rId3"/>
    <sheet name="RFM Customer Segments" sheetId="4" r:id="rId4"/>
  </sheets>
  <calcPr calcId="181029"/>
  <fileRecoveryPr repairLoad="1"/>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2" i="2" l="1"/>
  <c r="E32" i="2"/>
  <c r="C32" i="2"/>
  <c r="D32" i="2" s="1"/>
  <c r="B32" i="2"/>
  <c r="G31" i="2"/>
  <c r="D31" i="2"/>
  <c r="G30" i="2"/>
  <c r="D30" i="2"/>
  <c r="G29" i="2"/>
  <c r="D29" i="2"/>
  <c r="G28" i="2"/>
  <c r="D28" i="2"/>
  <c r="G27" i="2"/>
  <c r="D27" i="2"/>
  <c r="G26" i="2"/>
  <c r="D26" i="2"/>
  <c r="G25" i="2"/>
  <c r="D25" i="2"/>
  <c r="G24" i="2"/>
  <c r="D24" i="2"/>
  <c r="G23" i="2"/>
  <c r="D23" i="2"/>
  <c r="G22" i="2"/>
  <c r="D22" i="2"/>
  <c r="G21" i="2"/>
  <c r="D21" i="2"/>
  <c r="G20" i="2"/>
  <c r="D20" i="2"/>
  <c r="G19" i="2"/>
  <c r="D19" i="2"/>
  <c r="G18" i="2"/>
  <c r="D18" i="2"/>
  <c r="G17" i="2"/>
  <c r="D17" i="2"/>
  <c r="G16" i="2"/>
  <c r="D16" i="2"/>
  <c r="G15" i="2"/>
  <c r="D15" i="2"/>
  <c r="G14" i="2"/>
  <c r="D14" i="2"/>
  <c r="G13" i="2"/>
  <c r="D13" i="2"/>
  <c r="G12" i="2"/>
  <c r="D12" i="2"/>
  <c r="G11" i="2"/>
  <c r="D11" i="2"/>
  <c r="G10" i="2"/>
  <c r="D10" i="2"/>
  <c r="G9" i="2"/>
  <c r="D9" i="2"/>
  <c r="G8" i="2"/>
  <c r="D8" i="2"/>
  <c r="G7" i="2"/>
  <c r="D7" i="2"/>
  <c r="G6" i="2"/>
  <c r="D6" i="2"/>
  <c r="H5" i="2"/>
  <c r="H6" i="2" s="1"/>
  <c r="H7" i="2" s="1"/>
  <c r="H8" i="2" s="1"/>
  <c r="H9" i="2" s="1"/>
  <c r="H10" i="2" s="1"/>
  <c r="H11" i="2" s="1"/>
  <c r="H12" i="2" s="1"/>
  <c r="H13" i="2" s="1"/>
  <c r="H14" i="2" s="1"/>
  <c r="H15" i="2" s="1"/>
  <c r="H16" i="2" s="1"/>
  <c r="H17" i="2" s="1"/>
  <c r="H18" i="2" s="1"/>
  <c r="H19" i="2" s="1"/>
  <c r="H20" i="2" s="1"/>
  <c r="H21" i="2" s="1"/>
  <c r="H22" i="2" s="1"/>
  <c r="H23" i="2" s="1"/>
  <c r="H24" i="2" s="1"/>
  <c r="H25" i="2" s="1"/>
  <c r="H26" i="2" s="1"/>
  <c r="H27" i="2" s="1"/>
  <c r="H28" i="2" s="1"/>
  <c r="H29" i="2" s="1"/>
  <c r="H30" i="2" s="1"/>
  <c r="H31" i="2" s="1"/>
  <c r="D5" i="2"/>
</calcChain>
</file>

<file path=xl/sharedStrings.xml><?xml version="1.0" encoding="utf-8"?>
<sst xmlns="http://schemas.openxmlformats.org/spreadsheetml/2006/main" count="145" uniqueCount="132">
  <si>
    <t>E-Commerce Customer Marketing &amp; Campaign ROI Analytics</t>
  </si>
  <si>
    <t>Analysis Period: Jan 2022 – Mar 2024  |  1,500 Customers  |  SQL · Python · Excel · Power BI</t>
  </si>
  <si>
    <t>Total Net Revenue</t>
  </si>
  <si>
    <t>Total Net Margin</t>
  </si>
  <si>
    <t>Total Orders</t>
  </si>
  <si>
    <t>Overall Return Rate</t>
  </si>
  <si>
    <t>Best Channel ROI</t>
  </si>
  <si>
    <t>CLV Model R²</t>
  </si>
  <si>
    <t>Referral</t>
  </si>
  <si>
    <t>Jan 2022–Mar 2024</t>
  </si>
  <si>
    <t>45.1% margin rate</t>
  </si>
  <si>
    <t>Across 6 categories</t>
  </si>
  <si>
    <t>Revenue lost to returns</t>
  </si>
  <si>
    <t>$837 rev/customer</t>
  </si>
  <si>
    <t>86.2% variance explained</t>
  </si>
  <si>
    <t>The Referral Paradox</t>
  </si>
  <si>
    <t>Referral customers generate $837 revenue each — 68% more than Paid Social's $499. Referral ranks #1 on revenue per customer, margin per customer, AND lowest return rate (13.8%). Yet Paid Social receives the largest budget while Referral has only 186 customers.</t>
  </si>
  <si>
    <t>Email's Hidden Return Rate Problem</t>
  </si>
  <si>
    <t>Email drives the highest campaign conversion rate (3.0%) and appears second-best by gross revenue. But Email customers have the highest return rate (29.2%) — wiping out the revenue advantage. Net revenue after returns tells a very different story than gross campaign metrics.</t>
  </si>
  <si>
    <t>Loyal customers (34%) generate 55% of revenue</t>
  </si>
  <si>
    <t>RFM analysis shows 344 Champions generate $964 average revenue — 3.5× the $273 from Lost Customers. 231 At-Risk customers represent $154K in revenue still recoverable with a targeted win-back campaign. Acquisition is expensive; retention is the higher-ROI investment.</t>
  </si>
  <si>
    <t>1. Scale Referral immediately</t>
  </si>
  <si>
    <t>Referral is the best-performing channel on every quality metric. Doubling referral customers from 186 to 400 adds ~$180K in high-margin revenue with lower return rates.</t>
  </si>
  <si>
    <t>2. Win back At-Risk customers this week</t>
  </si>
  <si>
    <t>231 At-Risk customers have $669 average historical revenue. A targeted discount + personalised email to this segment could recover $50K–$80K before they become Lost.</t>
  </si>
  <si>
    <t>3. Audit Email return rate before next campaign</t>
  </si>
  <si>
    <t>Email campaigns drive 29.2% returns — the highest of all channels. Segment email sends by product category and stop promoting high-return-rate SKUs via email.</t>
  </si>
  <si>
    <t>Monthly Revenue Trends — Net Revenue &amp; Margin Growth</t>
  </si>
  <si>
    <t>Net Revenue = Gross Revenue minus returns  |  MoM Growth uses LAG() window function from SQL</t>
  </si>
  <si>
    <t>Month</t>
  </si>
  <si>
    <t>Net Revenue</t>
  </si>
  <si>
    <t>Net Margin</t>
  </si>
  <si>
    <t>Margin %</t>
  </si>
  <si>
    <t>Active Customers</t>
  </si>
  <si>
    <t>Orders</t>
  </si>
  <si>
    <t>MoM Growth %</t>
  </si>
  <si>
    <t>Cumulative Revenue</t>
  </si>
  <si>
    <t>2022-01</t>
  </si>
  <si>
    <t>—</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</si>
  <si>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</si>
  <si>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</si>
  <si>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</si>
  <si>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</si>
  <si>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</si>
  <si>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</si>
  <si>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</si>
  <si>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</si>
  <si>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</si>
  <si>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</si>
  <si>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</si>
  <si>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</si>
  <si>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</si>
  <si>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</si>
  <si>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</si>
  <si>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</si>
  <si>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</si>
  <si>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</si>
  <si>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</si>
  <si>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</si>
  <si>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</si>
  <si>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</si>
  <si>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</si>
  <si>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</si>
  <si>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</si>
  <si>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</si>
  <si>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TOTAL</t>
  </si>
  <si>
    <t>Campaign ROI &amp; Channel Attribution Analysis</t>
  </si>
  <si>
    <t>Key Question: "Which channel and campaign type delivers the best return on investment?"</t>
  </si>
  <si>
    <t xml:space="preserve">  Campaign Performance Funnel</t>
  </si>
  <si>
    <t>Campaign Type</t>
  </si>
  <si>
    <t>Total Sends</t>
  </si>
  <si>
    <t>Conversions</t>
  </si>
  <si>
    <t>Conv Rate %</t>
  </si>
  <si>
    <t>Total Cost ($)</t>
  </si>
  <si>
    <t>Revenue ($)</t>
  </si>
  <si>
    <t>Net ROI ($)</t>
  </si>
  <si>
    <t>Cost per Conv ($)</t>
  </si>
  <si>
    <t>SMS</t>
  </si>
  <si>
    <t>Email</t>
  </si>
  <si>
    <t>Influencer</t>
  </si>
  <si>
    <t>Push Notification</t>
  </si>
  <si>
    <t>Paid Social</t>
  </si>
  <si>
    <t>Display Ad</t>
  </si>
  <si>
    <t xml:space="preserve">  Channel Attribution Scorecard — The Referral Paradox</t>
  </si>
  <si>
    <t>Channel</t>
  </si>
  <si>
    <t>Customers</t>
  </si>
  <si>
    <t>Total Revenue</t>
  </si>
  <si>
    <t>Rev/Customer</t>
  </si>
  <si>
    <t>Margin/Customer</t>
  </si>
  <si>
    <t>Return Rate</t>
  </si>
  <si>
    <t>Budget Priority</t>
  </si>
  <si>
    <t>Organic Search</t>
  </si>
  <si>
    <t>Direct</t>
  </si>
  <si>
    <t>RFM Customer Segmentation &amp; CLV Analysis</t>
  </si>
  <si>
    <t>RFM = Recency · Frequency · Monetary  |  CLV Model R²: 0.862  |  6 Actionable Segments</t>
  </si>
  <si>
    <t xml:space="preserve">  Segment Performance &amp; Revenue Contribution</t>
  </si>
  <si>
    <t>RFM Segment</t>
  </si>
  <si>
    <t>Avg Revenue</t>
  </si>
  <si>
    <t>% of Revenue</t>
  </si>
  <si>
    <t>Avg Pred CLV</t>
  </si>
  <si>
    <t>Campaign Action</t>
  </si>
  <si>
    <t>Champions</t>
  </si>
  <si>
    <t>VIP Rewards — protect + upsell premium products</t>
  </si>
  <si>
    <t>Loyal Customers</t>
  </si>
  <si>
    <t>Retention — personalised thank-you + early access</t>
  </si>
  <si>
    <t>At Risk</t>
  </si>
  <si>
    <t>Potential Loyalists</t>
  </si>
  <si>
    <t>Nurture — incentivise 2nd/3rd purchase</t>
  </si>
  <si>
    <t>New Customers</t>
  </si>
  <si>
    <t>Onboarding — welcome series + product education</t>
  </si>
  <si>
    <t>Lost Customers</t>
  </si>
  <si>
    <t>Reactivation — last-chance discount + survey</t>
  </si>
  <si>
    <t xml:space="preserve">  Category Performance — Gross vs Net Revenue</t>
  </si>
  <si>
    <t>Category</t>
  </si>
  <si>
    <t>Gross Revenue</t>
  </si>
  <si>
    <t>Revenue Lost to Returns</t>
  </si>
  <si>
    <t>Footwear</t>
  </si>
  <si>
    <t>Home &amp; Living</t>
  </si>
  <si>
    <t>Sports</t>
  </si>
  <si>
    <t>Clothing</t>
  </si>
  <si>
    <t>Accessories</t>
  </si>
  <si>
    <t>Beauty</t>
  </si>
  <si>
    <t>Win-back — urgent time-limited offer this week</t>
  </si>
  <si>
    <t>Scale urgently</t>
  </si>
  <si>
    <t>Maintain</t>
  </si>
  <si>
    <t xml:space="preserve"> Monitor</t>
  </si>
  <si>
    <t>Audit returns first</t>
  </si>
  <si>
    <t>Reduce allocation</t>
  </si>
  <si>
    <t>ANSWER: "Which channel delivers the best ROI?"
REFERRAL — $837 revenue per customer, $378 margin per customer, 13.8% return rate. Ranks #1 on all quality metrics yet has only 186 customers. PAID SOCIAL has the most customers (455) but ranks last on revenue per customer ($499) and second-worst on return rate (24.0%). Budget reallocation from Paid Social to Referral is the single highest-impact commercial recommendation in this report.</t>
  </si>
  <si>
    <t>ANSWER: "Which month had the highest revenue and why?"
Jan 2024 hit $71,529 — the peak month. Revenue dips (red MoM values) in Feb 2022, Apr 2022, Jul 2022, Nov 2022, Jun 2023, Sep 2023, Nov–Dec 2023, and Feb 2024 correlate with high return volumes in those months. Returns — not demand — drive the dips.</t>
  </si>
  <si>
    <t xml:space="preserve">    Three Key Findings</t>
  </si>
  <si>
    <t xml:space="preserve">  Strategic Recommendations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</si>
</sst>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164" formatCode="\$#,##0"/>
    <numFmt numFmtId="165" formatCode="0.0%"/>
    <numFmt numFmtId="166" formatCode="0.000"/>
  </numFmts>
  <fonts count="18" x14ac:knownFonts="1">
    <font>
      <sz val="11"/>
      <color theme="1"/>
      <name val="Calibri"/>
      <family val="2"/>
      <charset val="1"/>
    </font>
    <font>
      <b/>
      <sz val="15"/>
      <color rgb="FFFFFFFF"/>
      <name val="Arial"/>
      <charset val="1"/>
    </font>
    <font>
      <i/>
      <sz val="9"/>
      <color rgb="FF6B7280"/>
      <name val="Arial"/>
      <charset val="1"/>
    </font>
    <font>
      <b/>
      <sz val="9"/>
      <color rgb="FFFFFFFF"/>
      <name val="Arial"/>
      <charset val="1"/>
    </font>
    <font>
      <b/>
      <sz val="13"/>
      <color rgb="FF0F4C81"/>
      <name val="Arial"/>
      <charset val="1"/>
    </font>
    <font>
      <b/>
      <sz val="13"/>
      <color rgb="FFD94F3D"/>
      <name val="Arial"/>
      <charset val="1"/>
    </font>
    <font>
      <b/>
      <sz val="13"/>
      <color rgb="FF27AE60"/>
      <name val="Arial"/>
      <charset val="1"/>
    </font>
    <font>
      <b/>
      <sz val="12"/>
      <color rgb="FF0F4C81"/>
      <name val="Arial"/>
      <charset val="1"/>
    </font>
    <font>
      <b/>
      <sz val="10"/>
      <color rgb="FFD94F3D"/>
      <name val="Arial"/>
      <charset val="1"/>
    </font>
    <font>
      <sz val="10"/>
      <color rgb="FF1A202C"/>
      <name val="Arial"/>
      <charset val="1"/>
    </font>
    <font>
      <b/>
      <sz val="10"/>
      <color rgb="FF0F4C81"/>
      <name val="Arial"/>
      <charset val="1"/>
    </font>
    <font>
      <b/>
      <sz val="10"/>
      <color rgb="FF27AE60"/>
      <name val="Arial"/>
      <charset val="1"/>
    </font>
    <font>
      <b/>
      <sz val="11"/>
      <color rgb="FFFFFFFF"/>
      <name val="Arial"/>
      <charset val="1"/>
    </font>
    <font>
      <b/>
      <sz val="10"/>
      <color rgb="FF1A202C"/>
      <name val="Arial"/>
      <charset val="1"/>
    </font>
    <font>
      <sz val="10"/>
      <color rgb="FF6B7280"/>
      <name val="Arial"/>
      <charset val="1"/>
    </font>
    <font>
      <sz val="10"/>
      <color rgb="FF0F4C81"/>
      <name val="Arial"/>
      <charset val="1"/>
    </font>
    <font>
      <b/>
      <sz val="10"/>
      <color rgb="FF1A5C38"/>
      <name val="Arial"/>
      <charset val="1"/>
    </font>
    <font>
      <b/>
      <sz val="10"/>
      <color rgb="FF7D3C0A"/>
      <name val="Arial"/>
      <charset val="1"/>
    </font>
  </fonts>
  <fills count="13">
    <fill>
      <patternFill patternType="none"/>
    </fill>
    <fill>
      <patternFill patternType="gray125"/>
    </fill>
    <fill>
      <patternFill patternType="solid">
        <fgColor rgb="FF0F4C81"/>
        <bgColor rgb="FF1A5C38"/>
      </patternFill>
    </fill>
    <fill>
      <patternFill patternType="solid">
        <fgColor rgb="FFD6E4F0"/>
        <bgColor rgb="FFD1D9E0"/>
      </patternFill>
    </fill>
    <fill>
      <patternFill patternType="solid">
        <fgColor rgb="FFD94F3D"/>
        <bgColor rgb="FF993366"/>
      </patternFill>
    </fill>
    <fill>
      <patternFill patternType="solid">
        <fgColor rgb="FF27AE60"/>
        <bgColor rgb="FF008080"/>
      </patternFill>
    </fill>
    <fill>
      <patternFill patternType="solid">
        <fgColor rgb="FFF5F7FA"/>
        <bgColor rgb="FFE8F8F0"/>
      </patternFill>
    </fill>
    <fill>
      <patternFill patternType="solid">
        <fgColor rgb="FFFFFFFF"/>
        <bgColor rgb="FFF5F7FA"/>
      </patternFill>
    </fill>
    <fill>
      <patternFill patternType="solid">
        <fgColor rgb="FF1A6BAD"/>
        <bgColor rgb="FF008080"/>
      </patternFill>
    </fill>
    <fill>
      <patternFill patternType="solid">
        <fgColor rgb="FFE8F8F0"/>
        <bgColor rgb="FFE8F0FE"/>
      </patternFill>
    </fill>
    <fill>
      <patternFill patternType="solid">
        <fgColor rgb="FFE8F0FE"/>
        <bgColor rgb="FFE8F8F0"/>
      </patternFill>
    </fill>
    <fill>
      <patternFill patternType="solid">
        <fgColor rgb="FFFEF3E2"/>
        <bgColor rgb="FFFDECEA"/>
      </patternFill>
    </fill>
    <fill>
      <patternFill patternType="solid">
        <fgColor rgb="FFFDECEA"/>
        <bgColor rgb="FFFEF3E2"/>
      </patternFill>
    </fill>
  </fills>
  <borders count="10">
    <border>
      <left/>
      <right/>
      <top/>
      <bottom/>
      <diagonal/>
    </border>
    <border>
      <left style="thin">
        <color rgb="FFD1D9E0"/>
      </left>
      <right/>
      <top style="thin">
        <color rgb="FFD1D9E0"/>
      </top>
      <bottom style="thin">
        <color rgb="FFD1D9E0"/>
      </bottom>
      <diagonal/>
    </border>
    <border>
      <left style="thin">
        <color rgb="FFD1D9E0"/>
      </left>
      <right style="thin">
        <color rgb="FFD1D9E0"/>
      </right>
      <top style="thin">
        <color rgb="FFD1D9E0"/>
      </top>
      <bottom style="thin">
        <color rgb="FFD1D9E0"/>
      </bottom>
      <diagonal/>
    </border>
    <border>
      <left style="thin">
        <color rgb="FFD1D9E0"/>
      </left>
      <right/>
      <top style="thin">
        <color rgb="FFD1D9E0"/>
      </top>
      <bottom/>
      <diagonal/>
    </border>
    <border>
      <left/>
      <right style="thin">
        <color rgb="FFD1D9E0"/>
      </right>
      <top style="thin">
        <color rgb="FFD1D9E0"/>
      </top>
      <bottom style="thin">
        <color rgb="FFD1D9E0"/>
      </bottom>
      <diagonal/>
    </border>
    <border>
      <left/>
      <right style="thin">
        <color rgb="FFD1D9E0"/>
      </right>
      <top/>
      <bottom style="thin">
        <color rgb="FFD1D9E0"/>
      </bottom>
      <diagonal/>
    </border>
    <border>
      <left style="thin">
        <color rgb="FFD1D9E0"/>
      </left>
      <right style="thin">
        <color rgb="FFD1D9E0"/>
      </right>
      <top/>
      <bottom style="thin">
        <color rgb="FFD1D9E0"/>
      </bottom>
      <diagonal/>
    </border>
    <border>
      <left style="thin">
        <color rgb="FFD1D9E0"/>
      </left>
      <right/>
      <top/>
      <bottom style="thin">
        <color rgb="FFD1D9E0"/>
      </bottom>
      <diagonal/>
    </border>
    <border>
      <left/>
      <right style="thin">
        <color rgb="FFD1D9E0"/>
      </right>
      <top style="thin">
        <color rgb="FFD1D9E0"/>
      </top>
      <bottom/>
      <diagonal/>
    </border>
    <border>
      <left style="thin">
        <color rgb="FFD1D9E0"/>
      </left>
      <right style="thin">
        <color rgb="FFD1D9E0"/>
      </right>
      <top style="thin">
        <color rgb="FFD1D9E0"/>
      </top>
      <bottom/>
      <diagonal/>
    </border>
  </borders>
  <cellStyleXfs count="1">
    <xf numFmtId="0" fontId="0" fillId="0" borderId="0"/>
  </cellStyleXfs>
  <cellXfs count="88">
    <xf numFmtId="0" fontId="0" fillId="0" borderId="0" xfId="0"/>
    <xf numFmtId="0" fontId="3" fillId="2"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4" fillId="6" borderId="2" xfId="0" applyFont="1" applyFill="1" applyBorder="1" applyAlignment="1">
      <alignment horizontal="center" vertical="center"/>
    </xf>
    <xf numFmtId="0" fontId="6" fillId="6" borderId="2" xfId="0" applyFont="1" applyFill="1" applyBorder="1" applyAlignment="1">
      <alignment horizontal="center" vertical="center"/>
    </xf>
    <xf numFmtId="0" fontId="2" fillId="7" borderId="2" xfId="0" applyFont="1" applyFill="1" applyBorder="1" applyAlignment="1">
      <alignment horizontal="center" vertical="center"/>
    </xf>
    <xf numFmtId="0" fontId="8" fillId="7" borderId="2" xfId="0" applyFont="1" applyFill="1" applyBorder="1" applyAlignment="1">
      <alignment horizontal="left" vertical="center"/>
    </xf>
    <xf numFmtId="0" fontId="10" fillId="6" borderId="2" xfId="0" applyFont="1" applyFill="1" applyBorder="1" applyAlignment="1">
      <alignment horizontal="left" vertical="center"/>
    </xf>
    <xf numFmtId="0" fontId="11" fillId="7" borderId="2" xfId="0" applyFont="1" applyFill="1" applyBorder="1" applyAlignment="1">
      <alignment horizontal="left" vertical="center"/>
    </xf>
    <xf numFmtId="0" fontId="10" fillId="7" borderId="2" xfId="0" applyFont="1" applyFill="1" applyBorder="1" applyAlignment="1">
      <alignment horizontal="left" vertical="center"/>
    </xf>
    <xf numFmtId="164" fontId="9" fillId="7" borderId="2" xfId="0" applyNumberFormat="1" applyFont="1" applyFill="1" applyBorder="1" applyAlignment="1">
      <alignment horizontal="center" vertical="center"/>
    </xf>
    <xf numFmtId="165" fontId="9" fillId="7" borderId="2" xfId="0" applyNumberFormat="1" applyFont="1" applyFill="1" applyBorder="1" applyAlignment="1">
      <alignment horizontal="center" vertical="center"/>
    </xf>
    <xf numFmtId="3" fontId="9" fillId="7" borderId="2" xfId="0" applyNumberFormat="1" applyFont="1" applyFill="1" applyBorder="1" applyAlignment="1">
      <alignment horizontal="center" vertical="center"/>
    </xf>
    <xf numFmtId="0" fontId="14" fillId="6" borderId="2" xfId="0" applyFont="1" applyFill="1" applyBorder="1" applyAlignment="1">
      <alignment horizontal="center" vertical="center"/>
    </xf>
    <xf numFmtId="164" fontId="9" fillId="6" borderId="2" xfId="0" applyNumberFormat="1" applyFont="1" applyFill="1" applyBorder="1" applyAlignment="1">
      <alignment horizontal="center" vertical="center"/>
    </xf>
    <xf numFmtId="165" fontId="9" fillId="6" borderId="2" xfId="0" applyNumberFormat="1" applyFont="1" applyFill="1" applyBorder="1" applyAlignment="1">
      <alignment horizontal="center" vertical="center"/>
    </xf>
    <xf numFmtId="3" fontId="9" fillId="6" borderId="2" xfId="0" applyNumberFormat="1" applyFont="1" applyFill="1" applyBorder="1" applyAlignment="1">
      <alignment horizontal="center" vertical="center"/>
    </xf>
    <xf numFmtId="165" fontId="8" fillId="6" borderId="2" xfId="0" applyNumberFormat="1" applyFont="1" applyFill="1" applyBorder="1" applyAlignment="1">
      <alignment horizontal="center" vertical="center"/>
    </xf>
    <xf numFmtId="165" fontId="8" fillId="7" borderId="2" xfId="0" applyNumberFormat="1" applyFont="1" applyFill="1" applyBorder="1" applyAlignment="1">
      <alignment horizontal="center" vertical="center"/>
    </xf>
    <xf numFmtId="3" fontId="9" fillId="9" borderId="2" xfId="0" applyNumberFormat="1" applyFont="1" applyFill="1" applyBorder="1" applyAlignment="1">
      <alignment horizontal="center" vertical="center"/>
    </xf>
    <xf numFmtId="10" fontId="9" fillId="9" borderId="2" xfId="0" applyNumberFormat="1" applyFont="1" applyFill="1" applyBorder="1" applyAlignment="1">
      <alignment horizontal="center" vertical="center"/>
    </xf>
    <xf numFmtId="164" fontId="9" fillId="9" borderId="2" xfId="0" applyNumberFormat="1" applyFont="1" applyFill="1" applyBorder="1" applyAlignment="1">
      <alignment horizontal="center" vertical="center"/>
    </xf>
    <xf numFmtId="10" fontId="9" fillId="7" borderId="2" xfId="0" applyNumberFormat="1" applyFont="1" applyFill="1" applyBorder="1" applyAlignment="1">
      <alignment horizontal="center" vertical="center"/>
    </xf>
    <xf numFmtId="10" fontId="9" fillId="6" borderId="2" xfId="0" applyNumberFormat="1" applyFont="1" applyFill="1" applyBorder="1" applyAlignment="1">
      <alignment horizontal="center" vertical="center"/>
    </xf>
    <xf numFmtId="3" fontId="16" fillId="9" borderId="2" xfId="0" applyNumberFormat="1" applyFont="1" applyFill="1" applyBorder="1" applyAlignment="1">
      <alignment horizontal="center" vertical="center"/>
    </xf>
    <xf numFmtId="164" fontId="16" fillId="9" borderId="2" xfId="0" applyNumberFormat="1" applyFont="1" applyFill="1" applyBorder="1" applyAlignment="1">
      <alignment horizontal="center" vertical="center"/>
    </xf>
    <xf numFmtId="165" fontId="16" fillId="9" borderId="2" xfId="0" applyNumberFormat="1" applyFont="1" applyFill="1" applyBorder="1" applyAlignment="1">
      <alignment horizontal="center" vertical="center"/>
    </xf>
    <xf numFmtId="165" fontId="9" fillId="9" borderId="2" xfId="0" applyNumberFormat="1" applyFont="1" applyFill="1" applyBorder="1" applyAlignment="1">
      <alignment horizontal="center" vertical="center"/>
    </xf>
    <xf numFmtId="3" fontId="9" fillId="10" borderId="2" xfId="0" applyNumberFormat="1" applyFont="1" applyFill="1" applyBorder="1" applyAlignment="1">
      <alignment horizontal="center" vertical="center"/>
    </xf>
    <xf numFmtId="164" fontId="9" fillId="10" borderId="2" xfId="0" applyNumberFormat="1" applyFont="1" applyFill="1" applyBorder="1" applyAlignment="1">
      <alignment horizontal="center" vertical="center"/>
    </xf>
    <xf numFmtId="165" fontId="9" fillId="10" borderId="2" xfId="0" applyNumberFormat="1" applyFont="1" applyFill="1" applyBorder="1" applyAlignment="1">
      <alignment horizontal="center" vertical="center"/>
    </xf>
    <xf numFmtId="3" fontId="17" fillId="11" borderId="2" xfId="0" applyNumberFormat="1" applyFont="1" applyFill="1" applyBorder="1" applyAlignment="1">
      <alignment horizontal="center" vertical="center"/>
    </xf>
    <xf numFmtId="164" fontId="17" fillId="11" borderId="2" xfId="0" applyNumberFormat="1" applyFont="1" applyFill="1" applyBorder="1" applyAlignment="1">
      <alignment horizontal="center" vertical="center"/>
    </xf>
    <xf numFmtId="165" fontId="17" fillId="11" borderId="2" xfId="0" applyNumberFormat="1" applyFont="1" applyFill="1" applyBorder="1" applyAlignment="1">
      <alignment horizontal="center" vertical="center"/>
    </xf>
    <xf numFmtId="6" fontId="4" fillId="6" borderId="2" xfId="0" applyNumberFormat="1" applyFont="1" applyFill="1" applyBorder="1" applyAlignment="1">
      <alignment horizontal="center" vertical="center"/>
    </xf>
    <xf numFmtId="10" fontId="5" fillId="6" borderId="2" xfId="0" applyNumberFormat="1" applyFont="1" applyFill="1" applyBorder="1" applyAlignment="1">
      <alignment horizontal="center" vertical="center"/>
    </xf>
    <xf numFmtId="166" fontId="4" fillId="6" borderId="2" xfId="0" applyNumberFormat="1" applyFont="1" applyFill="1" applyBorder="1" applyAlignment="1">
      <alignment horizontal="center" vertical="center"/>
    </xf>
    <xf numFmtId="0" fontId="13" fillId="9" borderId="4" xfId="0" applyFont="1" applyFill="1" applyBorder="1" applyAlignment="1">
      <alignment horizontal="center" vertical="center"/>
    </xf>
    <xf numFmtId="0" fontId="13" fillId="10" borderId="4" xfId="0" applyFont="1" applyFill="1" applyBorder="1" applyAlignment="1">
      <alignment horizontal="center" vertical="center"/>
    </xf>
    <xf numFmtId="0" fontId="17" fillId="11" borderId="4" xfId="0" applyFont="1" applyFill="1" applyBorder="1" applyAlignment="1">
      <alignment horizontal="center" vertical="center"/>
    </xf>
    <xf numFmtId="0" fontId="13" fillId="6" borderId="4" xfId="0" applyFont="1" applyFill="1" applyBorder="1" applyAlignment="1">
      <alignment horizontal="center" vertical="center"/>
    </xf>
    <xf numFmtId="0" fontId="9" fillId="9" borderId="1" xfId="0" applyFont="1" applyFill="1" applyBorder="1" applyAlignment="1">
      <alignment horizontal="center" vertical="center"/>
    </xf>
    <xf numFmtId="0" fontId="9" fillId="10" borderId="1" xfId="0" applyFont="1" applyFill="1" applyBorder="1" applyAlignment="1">
      <alignment horizontal="center" vertical="center"/>
    </xf>
    <xf numFmtId="0" fontId="17" fillId="11" borderId="1" xfId="0" applyFont="1" applyFill="1" applyBorder="1" applyAlignment="1">
      <alignment horizontal="center" vertical="center"/>
    </xf>
    <xf numFmtId="0" fontId="9" fillId="6" borderId="1" xfId="0" applyFont="1" applyFill="1" applyBorder="1" applyAlignment="1">
      <alignment horizontal="center" vertical="center"/>
    </xf>
    <xf numFmtId="0" fontId="12" fillId="2" borderId="5" xfId="0" applyFont="1" applyFill="1" applyBorder="1" applyAlignment="1">
      <alignment horizontal="center" vertical="center" wrapText="1"/>
    </xf>
    <xf numFmtId="0" fontId="12" fillId="2" borderId="6" xfId="0" applyFont="1" applyFill="1" applyBorder="1" applyAlignment="1">
      <alignment horizontal="center" vertical="center" wrapText="1"/>
    </xf>
    <xf numFmtId="0" fontId="12" fillId="2" borderId="7" xfId="0" applyFont="1" applyFill="1" applyBorder="1" applyAlignment="1">
      <alignment horizontal="center" vertical="center" wrapText="1"/>
    </xf>
    <xf numFmtId="0" fontId="13" fillId="12" borderId="8" xfId="0" applyFont="1" applyFill="1" applyBorder="1" applyAlignment="1">
      <alignment horizontal="center" vertical="center"/>
    </xf>
    <xf numFmtId="3" fontId="9" fillId="12" borderId="9" xfId="0" applyNumberFormat="1" applyFont="1" applyFill="1" applyBorder="1" applyAlignment="1">
      <alignment horizontal="center" vertical="center"/>
    </xf>
    <xf numFmtId="164" fontId="9" fillId="12" borderId="9" xfId="0" applyNumberFormat="1" applyFont="1" applyFill="1" applyBorder="1" applyAlignment="1">
      <alignment horizontal="center" vertical="center"/>
    </xf>
    <xf numFmtId="165" fontId="9" fillId="12" borderId="9" xfId="0" applyNumberFormat="1" applyFont="1" applyFill="1" applyBorder="1" applyAlignment="1">
      <alignment horizontal="center" vertical="center"/>
    </xf>
    <xf numFmtId="0" fontId="9" fillId="12" borderId="3" xfId="0" applyFont="1" applyFill="1" applyBorder="1" applyAlignment="1">
      <alignment horizontal="center" vertical="center"/>
    </xf>
    <xf numFmtId="0" fontId="9" fillId="7" borderId="1" xfId="0" applyFont="1" applyFill="1" applyBorder="1" applyAlignment="1">
      <alignment horizontal="left" vertical="center" wrapText="1"/>
    </xf>
    <xf numFmtId="0" fontId="7" fillId="3" borderId="1" xfId="0" applyFont="1" applyFill="1" applyBorder="1" applyAlignment="1">
      <alignment horizontal="left" vertical="center"/>
    </xf>
    <xf numFmtId="0" fontId="9" fillId="6" borderId="1" xfId="0" applyFont="1" applyFill="1" applyBorder="1" applyAlignment="1">
      <alignment horizontal="left" vertical="center" wrapText="1"/>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15" fillId="3" borderId="3" xfId="0" applyFont="1" applyFill="1" applyBorder="1" applyAlignment="1">
      <alignment horizontal="left" vertical="center" wrapText="1"/>
    </xf>
    <xf numFmtId="0" fontId="13" fillId="7" borderId="4" xfId="0" applyFont="1" applyFill="1" applyBorder="1" applyAlignment="1">
      <alignment horizontal="center" vertical="center"/>
    </xf>
    <xf numFmtId="164" fontId="9" fillId="6" borderId="1" xfId="0" applyNumberFormat="1" applyFont="1" applyFill="1" applyBorder="1" applyAlignment="1">
      <alignment horizontal="center" vertical="center"/>
    </xf>
    <xf numFmtId="164" fontId="9" fillId="7" borderId="1" xfId="0" applyNumberFormat="1" applyFont="1" applyFill="1" applyBorder="1" applyAlignment="1">
      <alignment horizontal="center" vertical="center"/>
    </xf>
    <xf numFmtId="0" fontId="12" fillId="8" borderId="5" xfId="0" applyFont="1" applyFill="1" applyBorder="1" applyAlignment="1">
      <alignment horizontal="center" vertical="center" wrapText="1"/>
    </xf>
    <xf numFmtId="0" fontId="12" fillId="8" borderId="6" xfId="0" applyFont="1" applyFill="1" applyBorder="1" applyAlignment="1">
      <alignment horizontal="center" vertical="center" wrapText="1"/>
    </xf>
    <xf numFmtId="0" fontId="12" fillId="8" borderId="7" xfId="0" applyFont="1" applyFill="1" applyBorder="1" applyAlignment="1">
      <alignment horizontal="center" vertical="center" wrapText="1"/>
    </xf>
    <xf numFmtId="0" fontId="13" fillId="7" borderId="8" xfId="0" applyFont="1" applyFill="1" applyBorder="1" applyAlignment="1">
      <alignment horizontal="center" vertical="center"/>
    </xf>
    <xf numFmtId="3" fontId="9" fillId="7" borderId="9" xfId="0" applyNumberFormat="1" applyFont="1" applyFill="1" applyBorder="1" applyAlignment="1">
      <alignment horizontal="center" vertical="center"/>
    </xf>
    <xf numFmtId="164" fontId="9" fillId="7" borderId="9" xfId="0" applyNumberFormat="1" applyFont="1" applyFill="1" applyBorder="1" applyAlignment="1">
      <alignment horizontal="center" vertical="center"/>
    </xf>
    <xf numFmtId="165" fontId="9" fillId="7" borderId="9" xfId="0" applyNumberFormat="1" applyFont="1" applyFill="1" applyBorder="1" applyAlignment="1">
      <alignment horizontal="center" vertical="center"/>
    </xf>
    <xf numFmtId="164" fontId="9" fillId="7" borderId="3" xfId="0" applyNumberFormat="1" applyFont="1" applyFill="1" applyBorder="1" applyAlignment="1">
      <alignment horizontal="center" vertical="center"/>
    </xf>
    <xf numFmtId="164" fontId="9" fillId="9" borderId="1" xfId="0" applyNumberFormat="1" applyFont="1" applyFill="1" applyBorder="1" applyAlignment="1">
      <alignment horizontal="center" vertical="center"/>
    </xf>
    <xf numFmtId="10" fontId="9" fillId="7" borderId="9" xfId="0" applyNumberFormat="1" applyFont="1" applyFill="1" applyBorder="1" applyAlignment="1">
      <alignment horizontal="center" vertical="center"/>
    </xf>
    <xf numFmtId="0" fontId="16" fillId="9" borderId="4" xfId="0" applyFont="1" applyFill="1" applyBorder="1" applyAlignment="1">
      <alignment horizontal="center" vertical="center"/>
    </xf>
    <xf numFmtId="0" fontId="16" fillId="9" borderId="1" xfId="0" applyFont="1" applyFill="1" applyBorder="1" applyAlignment="1">
      <alignment horizontal="center" vertical="center"/>
    </xf>
    <xf numFmtId="0" fontId="9" fillId="7" borderId="1" xfId="0" applyFont="1" applyFill="1" applyBorder="1" applyAlignment="1">
      <alignment horizontal="center" vertical="center"/>
    </xf>
    <xf numFmtId="0" fontId="13" fillId="6" borderId="8" xfId="0" applyFont="1" applyFill="1" applyBorder="1" applyAlignment="1">
      <alignment horizontal="center" vertical="center"/>
    </xf>
    <xf numFmtId="3" fontId="9" fillId="6" borderId="9" xfId="0" applyNumberFormat="1" applyFont="1" applyFill="1" applyBorder="1" applyAlignment="1">
      <alignment horizontal="center" vertical="center"/>
    </xf>
    <xf numFmtId="164" fontId="9" fillId="6" borderId="9" xfId="0" applyNumberFormat="1" applyFont="1" applyFill="1" applyBorder="1" applyAlignment="1">
      <alignment horizontal="center" vertical="center"/>
    </xf>
    <xf numFmtId="164" fontId="8" fillId="6" borderId="9" xfId="0" applyNumberFormat="1" applyFont="1" applyFill="1" applyBorder="1" applyAlignment="1">
      <alignment horizontal="center" vertical="center"/>
    </xf>
    <xf numFmtId="165" fontId="9" fillId="6" borderId="9" xfId="0" applyNumberFormat="1" applyFont="1" applyFill="1" applyBorder="1" applyAlignment="1">
      <alignment horizontal="center" vertical="center"/>
    </xf>
    <xf numFmtId="0" fontId="9" fillId="6" borderId="3"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9" xfId="0" applyNumberFormat="1" applyFont="1" applyFill="1" applyBorder="1" applyAlignment="1">
      <alignment horizontal="center" vertical="center"/>
    </xf>
    <xf numFmtId="165" fontId="12" fillId="8" borderId="9" xfId="0" applyNumberFormat="1" applyFont="1" applyFill="1" applyBorder="1" applyAlignment="1">
      <alignment horizontal="center" vertical="center"/>
    </xf>
    <xf numFmtId="3" fontId="12" fillId="8" borderId="9" xfId="0" applyNumberFormat="1" applyFont="1" applyFill="1" applyBorder="1" applyAlignment="1">
      <alignment horizontal="center" vertical="center"/>
    </xf>
    <xf numFmtId="0" fontId="12" fillId="8" borderId="9" xfId="0" applyFont="1" applyFill="1" applyBorder="1" applyAlignment="1">
      <alignment horizontal="center" vertical="center"/>
    </xf>
    <xf numFmtId="0" fontId="12" fillId="8" borderId="3" xfId="0" applyFont="1" applyFill="1" applyBorder="1" applyAlignment="1">
      <alignment horizontal="center" vertical="center"/>
    </xf>
  </cellXfs>
  <cellStyles count="1">
    <cellStyle name="Normal" xfId="0" builtinId="0"/>
  </cellStyles>
  <dxfs count="44">
    <dxf>
      <font>
        <b/>
        <i val="0"/>
        <strike val="0"/>
        <condense val="0"/>
        <extend val="0"/>
        <outline val="0"/>
        <shadow val="0"/>
        <u val="none"/>
        <vertAlign val="baseline"/>
        <sz val="11"/>
        <color rgb="FFFFFFFF"/>
        <name val="Arial"/>
        <charset val="1"/>
        <scheme val="none"/>
      </font>
      <fill>
        <patternFill patternType="solid">
          <fgColor rgb="FF1A5C38"/>
          <bgColor rgb="FF0F4C81"/>
        </patternFill>
      </fill>
      <alignment horizontal="center" vertical="center" textRotation="0" wrapText="1" indent="0" justifyLastLine="0" shrinkToFit="0" readingOrder="0"/>
      <border diagonalUp="0" diagonalDown="0" outline="0">
        <left style="thin">
          <color rgb="FFD1D9E0"/>
        </left>
        <right style="thin">
          <color rgb="FFD1D9E0"/>
        </right>
        <top/>
        <bottom/>
      </border>
    </dxf>
    <dxf>
      <border outline="0">
        <top style="thin">
          <color rgb="FFD1D9E0"/>
        </top>
      </border>
    </dxf>
    <dxf>
      <border outline="0">
        <bottom style="thin">
          <color rgb="FFD1D9E0"/>
        </bottom>
      </border>
    </dxf>
    <dxf>
      <border outline="0">
        <left style="thin">
          <color rgb="FFD1D9E0"/>
        </left>
        <right style="thin">
          <color rgb="FFD1D9E0"/>
        </right>
        <top style="thin">
          <color rgb="FFD1D9E0"/>
        </top>
        <bottom style="thin">
          <color rgb="FFD1D9E0"/>
        </bottom>
      </border>
    </dxf>
    <dxf>
      <font>
        <b/>
        <i val="0"/>
        <strike val="0"/>
        <condense val="0"/>
        <extend val="0"/>
        <outline val="0"/>
        <shadow val="0"/>
        <u val="none"/>
        <vertAlign val="baseline"/>
        <sz val="11"/>
        <color rgb="FFFFFFFF"/>
        <name val="Arial"/>
        <charset val="1"/>
        <scheme val="none"/>
      </font>
      <fill>
        <patternFill patternType="solid">
          <fgColor rgb="FF1A5C38"/>
          <bgColor rgb="FF0F4C81"/>
        </patternFill>
      </fill>
      <alignment horizontal="center" vertical="center" textRotation="0" wrapText="1" indent="0" justifyLastLine="0" shrinkToFit="0" readingOrder="0"/>
      <border diagonalUp="0" diagonalDown="0" outline="0">
        <left style="thin">
          <color rgb="FFD1D9E0"/>
        </left>
        <right style="thin">
          <color rgb="FFD1D9E0"/>
        </right>
        <top/>
        <bottom/>
      </border>
    </dxf>
    <dxf>
      <font>
        <b val="0"/>
        <i val="0"/>
        <strike val="0"/>
        <condense val="0"/>
        <extend val="0"/>
        <outline val="0"/>
        <shadow val="0"/>
        <u val="none"/>
        <vertAlign val="baseline"/>
        <sz val="10"/>
        <color rgb="FF1A202C"/>
        <name val="Arial"/>
        <charset val="1"/>
        <scheme val="none"/>
      </font>
      <fill>
        <patternFill patternType="solid">
          <fgColor rgb="FFE8F8F0"/>
          <bgColor rgb="FFF5F7FA"/>
        </patternFill>
      </fill>
      <alignment horizontal="center" vertical="center" textRotation="0" wrapText="0" indent="0" justifyLastLine="0" shrinkToFit="0" readingOrder="0"/>
    </dxf>
    <dxf>
      <font>
        <b val="0"/>
        <i val="0"/>
        <strike val="0"/>
        <condense val="0"/>
        <extend val="0"/>
        <outline val="0"/>
        <shadow val="0"/>
        <u val="none"/>
        <vertAlign val="baseline"/>
        <sz val="10"/>
        <color rgb="FF1A202C"/>
        <name val="Arial"/>
        <charset val="1"/>
        <scheme val="none"/>
      </font>
      <fill>
        <patternFill patternType="solid">
          <fgColor rgb="FFE8F8F0"/>
          <bgColor rgb="FFF5F7FA"/>
        </patternFill>
      </fill>
      <alignment horizontal="center" vertical="center" textRotation="0" wrapText="0" indent="0" justifyLastLine="0" shrinkToFit="0" readingOrder="0"/>
      <border diagonalUp="0" diagonalDown="0">
        <left style="thin">
          <color rgb="FFD1D9E0"/>
        </left>
        <right/>
        <top style="thin">
          <color rgb="FFD1D9E0"/>
        </top>
        <bottom style="thin">
          <color rgb="FFD1D9E0"/>
        </bottom>
        <vertical/>
        <horizontal/>
      </border>
    </dxf>
    <dxf>
      <font>
        <b val="0"/>
        <i val="0"/>
        <strike val="0"/>
        <condense val="0"/>
        <extend val="0"/>
        <outline val="0"/>
        <shadow val="0"/>
        <u val="none"/>
        <vertAlign val="baseline"/>
        <sz val="10"/>
        <color rgb="FF1A202C"/>
        <name val="Arial"/>
        <charset val="1"/>
        <scheme val="none"/>
      </font>
      <numFmt numFmtId="165" formatCode="0.0%"/>
      <fill>
        <patternFill patternType="solid">
          <fgColor rgb="FFE8F8F0"/>
          <bgColor rgb="FFF5F7FA"/>
        </patternFill>
      </fill>
      <alignment horizontal="center" vertical="center" textRotation="0" wrapText="0" indent="0" justifyLastLine="0" shrinkToFit="0" readingOrder="0"/>
      <border diagonalUp="0" diagonalDown="0">
        <left style="thin">
          <color rgb="FFD1D9E0"/>
        </left>
        <right style="thin">
          <color rgb="FFD1D9E0"/>
        </right>
        <top style="thin">
          <color rgb="FFD1D9E0"/>
        </top>
        <bottom style="thin">
          <color rgb="FFD1D9E0"/>
        </bottom>
        <vertical/>
        <horizontal/>
      </border>
    </dxf>
    <dxf>
      <font>
        <b val="0"/>
        <i val="0"/>
        <strike val="0"/>
        <condense val="0"/>
        <extend val="0"/>
        <outline val="0"/>
        <shadow val="0"/>
        <u val="none"/>
        <vertAlign val="baseline"/>
        <sz val="10"/>
        <color rgb="FF1A202C"/>
        <name val="Arial"/>
        <charset val="1"/>
        <scheme val="none"/>
      </font>
      <numFmt numFmtId="164" formatCode="\$#,##0"/>
      <fill>
        <patternFill patternType="solid">
          <fgColor rgb="FFE8F8F0"/>
          <bgColor rgb="FFF5F7FA"/>
        </patternFill>
      </fill>
      <alignment horizontal="center" vertical="center" textRotation="0" wrapText="0" indent="0" justifyLastLine="0" shrinkToFit="0" readingOrder="0"/>
      <border diagonalUp="0" diagonalDown="0">
        <left style="thin">
          <color rgb="FFD1D9E0"/>
        </left>
        <right style="thin">
          <color rgb="FFD1D9E0"/>
        </right>
        <top style="thin">
          <color rgb="FFD1D9E0"/>
        </top>
        <bottom style="thin">
          <color rgb="FFD1D9E0"/>
        </bottom>
        <vertical/>
        <horizontal/>
      </border>
    </dxf>
    <dxf>
      <font>
        <b val="0"/>
        <i val="0"/>
        <strike val="0"/>
        <condense val="0"/>
        <extend val="0"/>
        <outline val="0"/>
        <shadow val="0"/>
        <u val="none"/>
        <vertAlign val="baseline"/>
        <sz val="10"/>
        <color rgb="FF1A202C"/>
        <name val="Arial"/>
        <charset val="1"/>
        <scheme val="none"/>
      </font>
      <numFmt numFmtId="164" formatCode="\$#,##0"/>
      <fill>
        <patternFill patternType="solid">
          <fgColor rgb="FFE8F8F0"/>
          <bgColor rgb="FFF5F7FA"/>
        </patternFill>
      </fill>
      <alignment horizontal="center" vertical="center" textRotation="0" wrapText="0" indent="0" justifyLastLine="0" shrinkToFit="0" readingOrder="0"/>
      <border diagonalUp="0" diagonalDown="0">
        <left style="thin">
          <color rgb="FFD1D9E0"/>
        </left>
        <right style="thin">
          <color rgb="FFD1D9E0"/>
        </right>
        <top style="thin">
          <color rgb="FFD1D9E0"/>
        </top>
        <bottom style="thin">
          <color rgb="FFD1D9E0"/>
        </bottom>
        <vertical/>
        <horizontal/>
      </border>
    </dxf>
    <dxf>
      <font>
        <b val="0"/>
        <i val="0"/>
        <strike val="0"/>
        <condense val="0"/>
        <extend val="0"/>
        <outline val="0"/>
        <shadow val="0"/>
        <u val="none"/>
        <vertAlign val="baseline"/>
        <sz val="10"/>
        <color rgb="FF1A202C"/>
        <name val="Arial"/>
        <charset val="1"/>
        <scheme val="none"/>
      </font>
      <numFmt numFmtId="3" formatCode="#,##0"/>
      <fill>
        <patternFill patternType="solid">
          <fgColor rgb="FFE8F8F0"/>
          <bgColor rgb="FFF5F7FA"/>
        </patternFill>
      </fill>
      <alignment horizontal="center" vertical="center" textRotation="0" wrapText="0" indent="0" justifyLastLine="0" shrinkToFit="0" readingOrder="0"/>
      <border diagonalUp="0" diagonalDown="0">
        <left style="thin">
          <color rgb="FFD1D9E0"/>
        </left>
        <right style="thin">
          <color rgb="FFD1D9E0"/>
        </right>
        <top style="thin">
          <color rgb="FFD1D9E0"/>
        </top>
        <bottom style="thin">
          <color rgb="FFD1D9E0"/>
        </bottom>
        <vertical/>
        <horizontal/>
      </border>
    </dxf>
    <dxf>
      <font>
        <b/>
        <i val="0"/>
        <strike val="0"/>
        <condense val="0"/>
        <extend val="0"/>
        <outline val="0"/>
        <shadow val="0"/>
        <u val="none"/>
        <vertAlign val="baseline"/>
        <sz val="10"/>
        <color rgb="FF1A202C"/>
        <name val="Arial"/>
        <charset val="1"/>
        <scheme val="none"/>
      </font>
      <fill>
        <patternFill patternType="solid">
          <fgColor rgb="FFE8F8F0"/>
          <bgColor rgb="FFF5F7FA"/>
        </patternFill>
      </fill>
      <alignment horizontal="center" vertical="center" textRotation="0" wrapText="0" indent="0" justifyLastLine="0" shrinkToFit="0" readingOrder="0"/>
      <border diagonalUp="0" diagonalDown="0">
        <left/>
        <right style="thin">
          <color rgb="FFD1D9E0"/>
        </right>
        <top style="thin">
          <color rgb="FFD1D9E0"/>
        </top>
        <bottom style="thin">
          <color rgb="FFD1D9E0"/>
        </bottom>
        <vertical/>
        <horizontal/>
      </border>
    </dxf>
    <dxf>
      <border outline="0">
        <top style="thin">
          <color rgb="FFD1D9E0"/>
        </top>
      </border>
    </dxf>
    <dxf>
      <border outline="0">
        <bottom style="thin">
          <color rgb="FFD1D9E0"/>
        </bottom>
      </border>
    </dxf>
    <dxf>
      <border outline="0">
        <left style="thin">
          <color rgb="FFD1D9E0"/>
        </left>
        <right style="thin">
          <color rgb="FFD1D9E0"/>
        </right>
        <top style="thin">
          <color rgb="FFD1D9E0"/>
        </top>
        <bottom style="thin">
          <color rgb="FFD1D9E0"/>
        </bottom>
      </border>
    </dxf>
    <dxf>
      <font>
        <b/>
        <i val="0"/>
        <strike val="0"/>
        <condense val="0"/>
        <extend val="0"/>
        <outline val="0"/>
        <shadow val="0"/>
        <u val="none"/>
        <vertAlign val="baseline"/>
        <sz val="11"/>
        <color rgb="FFFFFFFF"/>
        <name val="Arial"/>
        <charset val="1"/>
        <scheme val="none"/>
      </font>
      <fill>
        <patternFill patternType="solid">
          <fgColor rgb="FF008080"/>
          <bgColor rgb="FF1A6BAD"/>
        </patternFill>
      </fill>
      <alignment horizontal="center" vertical="center" textRotation="0" wrapText="1" indent="0" justifyLastLine="0" shrinkToFit="0" readingOrder="0"/>
      <border diagonalUp="0" diagonalDown="0" outline="0">
        <left style="thin">
          <color rgb="FFD1D9E0"/>
        </left>
        <right style="thin">
          <color rgb="FFD1D9E0"/>
        </right>
        <top/>
        <bottom/>
      </border>
    </dxf>
    <dxf>
      <font>
        <b val="0"/>
        <i val="0"/>
        <strike val="0"/>
        <condense val="0"/>
        <extend val="0"/>
        <outline val="0"/>
        <shadow val="0"/>
        <u val="none"/>
        <vertAlign val="baseline"/>
        <sz val="10"/>
        <color rgb="FF1A202C"/>
        <name val="Arial"/>
        <charset val="1"/>
        <scheme val="none"/>
      </font>
      <fill>
        <patternFill patternType="solid">
          <fgColor rgb="FFF5F7FA"/>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0"/>
        <color rgb="FF1A202C"/>
        <name val="Arial"/>
        <charset val="1"/>
        <scheme val="none"/>
      </font>
      <numFmt numFmtId="164" formatCode="\$#,##0"/>
      <fill>
        <patternFill patternType="solid">
          <fgColor rgb="FFF5F7FA"/>
          <bgColor rgb="FFFFFFFF"/>
        </patternFill>
      </fill>
      <alignment horizontal="center" vertical="center" textRotation="0" wrapText="0" indent="0" justifyLastLine="0" shrinkToFit="0" readingOrder="0"/>
      <border diagonalUp="0" diagonalDown="0">
        <left style="thin">
          <color rgb="FFD1D9E0"/>
        </left>
        <right/>
        <top style="thin">
          <color rgb="FFD1D9E0"/>
        </top>
        <bottom style="thin">
          <color rgb="FFD1D9E0"/>
        </bottom>
        <vertical/>
        <horizontal/>
      </border>
    </dxf>
    <dxf>
      <font>
        <b val="0"/>
        <i val="0"/>
        <strike val="0"/>
        <condense val="0"/>
        <extend val="0"/>
        <outline val="0"/>
        <shadow val="0"/>
        <u val="none"/>
        <vertAlign val="baseline"/>
        <sz val="10"/>
        <color rgb="FF1A202C"/>
        <name val="Arial"/>
        <charset val="1"/>
        <scheme val="none"/>
      </font>
      <numFmt numFmtId="164" formatCode="\$#,##0"/>
      <fill>
        <patternFill patternType="solid">
          <fgColor rgb="FFF5F7FA"/>
          <bgColor rgb="FFFFFFFF"/>
        </patternFill>
      </fill>
      <alignment horizontal="center" vertical="center" textRotation="0" wrapText="0" indent="0" justifyLastLine="0" shrinkToFit="0" readingOrder="0"/>
      <border diagonalUp="0" diagonalDown="0">
        <left style="thin">
          <color rgb="FFD1D9E0"/>
        </left>
        <right style="thin">
          <color rgb="FFD1D9E0"/>
        </right>
        <top style="thin">
          <color rgb="FFD1D9E0"/>
        </top>
        <bottom style="thin">
          <color rgb="FFD1D9E0"/>
        </bottom>
        <vertical/>
        <horizontal/>
      </border>
    </dxf>
    <dxf>
      <font>
        <b val="0"/>
        <i val="0"/>
        <strike val="0"/>
        <condense val="0"/>
        <extend val="0"/>
        <outline val="0"/>
        <shadow val="0"/>
        <u val="none"/>
        <vertAlign val="baseline"/>
        <sz val="10"/>
        <color rgb="FF1A202C"/>
        <name val="Arial"/>
        <charset val="1"/>
        <scheme val="none"/>
      </font>
      <numFmt numFmtId="164" formatCode="\$#,##0"/>
      <fill>
        <patternFill patternType="solid">
          <fgColor rgb="FFF5F7FA"/>
          <bgColor rgb="FFFFFFFF"/>
        </patternFill>
      </fill>
      <alignment horizontal="center" vertical="center" textRotation="0" wrapText="0" indent="0" justifyLastLine="0" shrinkToFit="0" readingOrder="0"/>
      <border diagonalUp="0" diagonalDown="0">
        <left style="thin">
          <color rgb="FFD1D9E0"/>
        </left>
        <right style="thin">
          <color rgb="FFD1D9E0"/>
        </right>
        <top style="thin">
          <color rgb="FFD1D9E0"/>
        </top>
        <bottom style="thin">
          <color rgb="FFD1D9E0"/>
        </bottom>
        <vertical/>
        <horizontal/>
      </border>
    </dxf>
    <dxf>
      <font>
        <b val="0"/>
        <i val="0"/>
        <strike val="0"/>
        <condense val="0"/>
        <extend val="0"/>
        <outline val="0"/>
        <shadow val="0"/>
        <u val="none"/>
        <vertAlign val="baseline"/>
        <sz val="10"/>
        <color rgb="FF1A202C"/>
        <name val="Arial"/>
        <charset val="1"/>
        <scheme val="none"/>
      </font>
      <numFmt numFmtId="164" formatCode="\$#,##0"/>
      <fill>
        <patternFill patternType="solid">
          <fgColor rgb="FFF5F7FA"/>
          <bgColor rgb="FFFFFFFF"/>
        </patternFill>
      </fill>
      <alignment horizontal="center" vertical="center" textRotation="0" wrapText="0" indent="0" justifyLastLine="0" shrinkToFit="0" readingOrder="0"/>
      <border diagonalUp="0" diagonalDown="0">
        <left style="thin">
          <color rgb="FFD1D9E0"/>
        </left>
        <right style="thin">
          <color rgb="FFD1D9E0"/>
        </right>
        <top style="thin">
          <color rgb="FFD1D9E0"/>
        </top>
        <bottom style="thin">
          <color rgb="FFD1D9E0"/>
        </bottom>
        <vertical/>
        <horizontal/>
      </border>
    </dxf>
    <dxf>
      <font>
        <b val="0"/>
        <i val="0"/>
        <strike val="0"/>
        <condense val="0"/>
        <extend val="0"/>
        <outline val="0"/>
        <shadow val="0"/>
        <u val="none"/>
        <vertAlign val="baseline"/>
        <sz val="10"/>
        <color rgb="FF1A202C"/>
        <name val="Arial"/>
        <charset val="1"/>
        <scheme val="none"/>
      </font>
      <numFmt numFmtId="14" formatCode="0.00%"/>
      <fill>
        <patternFill patternType="solid">
          <fgColor rgb="FFF5F7FA"/>
          <bgColor rgb="FFFFFFFF"/>
        </patternFill>
      </fill>
      <alignment horizontal="center" vertical="center" textRotation="0" wrapText="0" indent="0" justifyLastLine="0" shrinkToFit="0" readingOrder="0"/>
      <border diagonalUp="0" diagonalDown="0">
        <left style="thin">
          <color rgb="FFD1D9E0"/>
        </left>
        <right style="thin">
          <color rgb="FFD1D9E0"/>
        </right>
        <top style="thin">
          <color rgb="FFD1D9E0"/>
        </top>
        <bottom style="thin">
          <color rgb="FFD1D9E0"/>
        </bottom>
        <vertical/>
        <horizontal/>
      </border>
    </dxf>
    <dxf>
      <font>
        <b val="0"/>
        <i val="0"/>
        <strike val="0"/>
        <condense val="0"/>
        <extend val="0"/>
        <outline val="0"/>
        <shadow val="0"/>
        <u val="none"/>
        <vertAlign val="baseline"/>
        <sz val="10"/>
        <color rgb="FF1A202C"/>
        <name val="Arial"/>
        <charset val="1"/>
        <scheme val="none"/>
      </font>
      <numFmt numFmtId="3" formatCode="#,##0"/>
      <fill>
        <patternFill patternType="solid">
          <fgColor rgb="FFF5F7FA"/>
          <bgColor rgb="FFFFFFFF"/>
        </patternFill>
      </fill>
      <alignment horizontal="center" vertical="center" textRotation="0" wrapText="0" indent="0" justifyLastLine="0" shrinkToFit="0" readingOrder="0"/>
      <border diagonalUp="0" diagonalDown="0">
        <left style="thin">
          <color rgb="FFD1D9E0"/>
        </left>
        <right style="thin">
          <color rgb="FFD1D9E0"/>
        </right>
        <top style="thin">
          <color rgb="FFD1D9E0"/>
        </top>
        <bottom style="thin">
          <color rgb="FFD1D9E0"/>
        </bottom>
        <vertical/>
        <horizontal/>
      </border>
    </dxf>
    <dxf>
      <font>
        <b val="0"/>
        <i val="0"/>
        <strike val="0"/>
        <condense val="0"/>
        <extend val="0"/>
        <outline val="0"/>
        <shadow val="0"/>
        <u val="none"/>
        <vertAlign val="baseline"/>
        <sz val="10"/>
        <color rgb="FF1A202C"/>
        <name val="Arial"/>
        <charset val="1"/>
        <scheme val="none"/>
      </font>
      <numFmt numFmtId="3" formatCode="#,##0"/>
      <fill>
        <patternFill patternType="solid">
          <fgColor rgb="FFF5F7FA"/>
          <bgColor rgb="FFFFFFFF"/>
        </patternFill>
      </fill>
      <alignment horizontal="center" vertical="center" textRotation="0" wrapText="0" indent="0" justifyLastLine="0" shrinkToFit="0" readingOrder="0"/>
      <border diagonalUp="0" diagonalDown="0">
        <left style="thin">
          <color rgb="FFD1D9E0"/>
        </left>
        <right style="thin">
          <color rgb="FFD1D9E0"/>
        </right>
        <top style="thin">
          <color rgb="FFD1D9E0"/>
        </top>
        <bottom style="thin">
          <color rgb="FFD1D9E0"/>
        </bottom>
        <vertical/>
        <horizontal/>
      </border>
    </dxf>
    <dxf>
      <font>
        <b/>
        <i val="0"/>
        <strike val="0"/>
        <condense val="0"/>
        <extend val="0"/>
        <outline val="0"/>
        <shadow val="0"/>
        <u val="none"/>
        <vertAlign val="baseline"/>
        <sz val="10"/>
        <color rgb="FF1A202C"/>
        <name val="Arial"/>
        <charset val="1"/>
        <scheme val="none"/>
      </font>
      <fill>
        <patternFill patternType="solid">
          <fgColor rgb="FFF5F7FA"/>
          <bgColor rgb="FFFFFFFF"/>
        </patternFill>
      </fill>
      <alignment horizontal="center" vertical="center" textRotation="0" wrapText="0" indent="0" justifyLastLine="0" shrinkToFit="0" readingOrder="0"/>
      <border diagonalUp="0" diagonalDown="0">
        <left/>
        <right style="thin">
          <color rgb="FFD1D9E0"/>
        </right>
        <top style="thin">
          <color rgb="FFD1D9E0"/>
        </top>
        <bottom style="thin">
          <color rgb="FFD1D9E0"/>
        </bottom>
        <vertical/>
        <horizontal/>
      </border>
    </dxf>
    <dxf>
      <border outline="0">
        <top style="thin">
          <color rgb="FFD1D9E0"/>
        </top>
      </border>
    </dxf>
    <dxf>
      <border outline="0">
        <bottom style="thin">
          <color rgb="FFD1D9E0"/>
        </bottom>
      </border>
    </dxf>
    <dxf>
      <border outline="0">
        <left style="thin">
          <color rgb="FFD1D9E0"/>
        </left>
        <right style="thin">
          <color rgb="FFD1D9E0"/>
        </right>
        <top style="thin">
          <color rgb="FFD1D9E0"/>
        </top>
        <bottom style="thin">
          <color rgb="FFD1D9E0"/>
        </bottom>
      </border>
    </dxf>
    <dxf>
      <font>
        <b/>
        <i val="0"/>
        <strike val="0"/>
        <condense val="0"/>
        <extend val="0"/>
        <outline val="0"/>
        <shadow val="0"/>
        <u val="none"/>
        <vertAlign val="baseline"/>
        <sz val="11"/>
        <color rgb="FFFFFFFF"/>
        <name val="Arial"/>
        <charset val="1"/>
        <scheme val="none"/>
      </font>
      <fill>
        <patternFill patternType="solid">
          <fgColor rgb="FF008080"/>
          <bgColor rgb="FF1A6BAD"/>
        </patternFill>
      </fill>
      <alignment horizontal="center" vertical="center" textRotation="0" wrapText="1" indent="0" justifyLastLine="0" shrinkToFit="0" readingOrder="0"/>
      <border diagonalUp="0" diagonalDown="0" outline="0">
        <left style="thin">
          <color rgb="FFD1D9E0"/>
        </left>
        <right style="thin">
          <color rgb="FFD1D9E0"/>
        </right>
        <top/>
        <bottom/>
      </border>
    </dxf>
    <dxf>
      <font>
        <b val="0"/>
        <i val="0"/>
        <strike val="0"/>
        <condense val="0"/>
        <extend val="0"/>
        <outline val="0"/>
        <shadow val="0"/>
        <u val="none"/>
        <vertAlign val="baseline"/>
        <sz val="10"/>
        <color rgb="FF1A202C"/>
        <name val="Arial"/>
        <charset val="1"/>
        <scheme val="none"/>
      </font>
      <fill>
        <patternFill patternType="solid">
          <fgColor rgb="FFF5F7FA"/>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0"/>
        <color rgb="FF1A202C"/>
        <name val="Arial"/>
        <charset val="1"/>
        <scheme val="none"/>
      </font>
      <numFmt numFmtId="164" formatCode="\$#,##0"/>
      <fill>
        <patternFill patternType="solid">
          <fgColor rgb="FFF5F7FA"/>
          <bgColor rgb="FFFFFFFF"/>
        </patternFill>
      </fill>
      <alignment horizontal="center" vertical="center" textRotation="0" wrapText="0" indent="0" justifyLastLine="0" shrinkToFit="0" readingOrder="0"/>
      <border diagonalUp="0" diagonalDown="0">
        <left style="thin">
          <color rgb="FFD1D9E0"/>
        </left>
        <right/>
        <top style="thin">
          <color rgb="FFD1D9E0"/>
        </top>
        <bottom style="thin">
          <color rgb="FFD1D9E0"/>
        </bottom>
        <vertical/>
        <horizontal/>
      </border>
    </dxf>
    <dxf>
      <font>
        <b val="0"/>
        <i val="0"/>
        <strike val="0"/>
        <condense val="0"/>
        <extend val="0"/>
        <outline val="0"/>
        <shadow val="0"/>
        <u val="none"/>
        <vertAlign val="baseline"/>
        <sz val="10"/>
        <color rgb="FF1A202C"/>
        <name val="Arial"/>
        <charset val="1"/>
        <scheme val="none"/>
      </font>
      <numFmt numFmtId="165" formatCode="0.0%"/>
      <fill>
        <patternFill patternType="solid">
          <fgColor rgb="FFF5F7FA"/>
          <bgColor rgb="FFFFFFFF"/>
        </patternFill>
      </fill>
      <alignment horizontal="center" vertical="center" textRotation="0" wrapText="0" indent="0" justifyLastLine="0" shrinkToFit="0" readingOrder="0"/>
      <border diagonalUp="0" diagonalDown="0">
        <left style="thin">
          <color rgb="FFD1D9E0"/>
        </left>
        <right style="thin">
          <color rgb="FFD1D9E0"/>
        </right>
        <top style="thin">
          <color rgb="FFD1D9E0"/>
        </top>
        <bottom style="thin">
          <color rgb="FFD1D9E0"/>
        </bottom>
        <vertical/>
        <horizontal/>
      </border>
    </dxf>
    <dxf>
      <font>
        <b val="0"/>
        <i val="0"/>
        <strike val="0"/>
        <condense val="0"/>
        <extend val="0"/>
        <outline val="0"/>
        <shadow val="0"/>
        <u val="none"/>
        <vertAlign val="baseline"/>
        <sz val="10"/>
        <color rgb="FF1A202C"/>
        <name val="Arial"/>
        <charset val="1"/>
        <scheme val="none"/>
      </font>
      <numFmt numFmtId="164" formatCode="\$#,##0"/>
      <fill>
        <patternFill patternType="solid">
          <fgColor rgb="FFF5F7FA"/>
          <bgColor rgb="FFFFFFFF"/>
        </patternFill>
      </fill>
      <alignment horizontal="center" vertical="center" textRotation="0" wrapText="0" indent="0" justifyLastLine="0" shrinkToFit="0" readingOrder="0"/>
      <border diagonalUp="0" diagonalDown="0">
        <left style="thin">
          <color rgb="FFD1D9E0"/>
        </left>
        <right style="thin">
          <color rgb="FFD1D9E0"/>
        </right>
        <top style="thin">
          <color rgb="FFD1D9E0"/>
        </top>
        <bottom style="thin">
          <color rgb="FFD1D9E0"/>
        </bottom>
        <vertical/>
        <horizontal/>
      </border>
    </dxf>
    <dxf>
      <font>
        <b val="0"/>
        <i val="0"/>
        <strike val="0"/>
        <condense val="0"/>
        <extend val="0"/>
        <outline val="0"/>
        <shadow val="0"/>
        <u val="none"/>
        <vertAlign val="baseline"/>
        <sz val="10"/>
        <color rgb="FF1A202C"/>
        <name val="Arial"/>
        <charset val="1"/>
        <scheme val="none"/>
      </font>
      <numFmt numFmtId="164" formatCode="\$#,##0"/>
      <fill>
        <patternFill patternType="solid">
          <fgColor rgb="FFF5F7FA"/>
          <bgColor rgb="FFFFFFFF"/>
        </patternFill>
      </fill>
      <alignment horizontal="center" vertical="center" textRotation="0" wrapText="0" indent="0" justifyLastLine="0" shrinkToFit="0" readingOrder="0"/>
      <border diagonalUp="0" diagonalDown="0">
        <left style="thin">
          <color rgb="FFD1D9E0"/>
        </left>
        <right style="thin">
          <color rgb="FFD1D9E0"/>
        </right>
        <top style="thin">
          <color rgb="FFD1D9E0"/>
        </top>
        <bottom style="thin">
          <color rgb="FFD1D9E0"/>
        </bottom>
        <vertical/>
        <horizontal/>
      </border>
    </dxf>
    <dxf>
      <font>
        <b val="0"/>
        <i val="0"/>
        <strike val="0"/>
        <condense val="0"/>
        <extend val="0"/>
        <outline val="0"/>
        <shadow val="0"/>
        <u val="none"/>
        <vertAlign val="baseline"/>
        <sz val="10"/>
        <color rgb="FF1A202C"/>
        <name val="Arial"/>
        <charset val="1"/>
        <scheme val="none"/>
      </font>
      <numFmt numFmtId="164" formatCode="\$#,##0"/>
      <fill>
        <patternFill patternType="solid">
          <fgColor rgb="FFF5F7FA"/>
          <bgColor rgb="FFFFFFFF"/>
        </patternFill>
      </fill>
      <alignment horizontal="center" vertical="center" textRotation="0" wrapText="0" indent="0" justifyLastLine="0" shrinkToFit="0" readingOrder="0"/>
      <border diagonalUp="0" diagonalDown="0">
        <left style="thin">
          <color rgb="FFD1D9E0"/>
        </left>
        <right style="thin">
          <color rgb="FFD1D9E0"/>
        </right>
        <top style="thin">
          <color rgb="FFD1D9E0"/>
        </top>
        <bottom style="thin">
          <color rgb="FFD1D9E0"/>
        </bottom>
        <vertical/>
        <horizontal/>
      </border>
    </dxf>
    <dxf>
      <font>
        <b val="0"/>
        <i val="0"/>
        <strike val="0"/>
        <condense val="0"/>
        <extend val="0"/>
        <outline val="0"/>
        <shadow val="0"/>
        <u val="none"/>
        <vertAlign val="baseline"/>
        <sz val="10"/>
        <color rgb="FF1A202C"/>
        <name val="Arial"/>
        <charset val="1"/>
        <scheme val="none"/>
      </font>
      <numFmt numFmtId="3" formatCode="#,##0"/>
      <fill>
        <patternFill patternType="solid">
          <fgColor rgb="FFF5F7FA"/>
          <bgColor rgb="FFFFFFFF"/>
        </patternFill>
      </fill>
      <alignment horizontal="center" vertical="center" textRotation="0" wrapText="0" indent="0" justifyLastLine="0" shrinkToFit="0" readingOrder="0"/>
      <border diagonalUp="0" diagonalDown="0">
        <left style="thin">
          <color rgb="FFD1D9E0"/>
        </left>
        <right style="thin">
          <color rgb="FFD1D9E0"/>
        </right>
        <top style="thin">
          <color rgb="FFD1D9E0"/>
        </top>
        <bottom style="thin">
          <color rgb="FFD1D9E0"/>
        </bottom>
        <vertical/>
        <horizontal/>
      </border>
    </dxf>
    <dxf>
      <font>
        <b/>
        <i val="0"/>
        <strike val="0"/>
        <condense val="0"/>
        <extend val="0"/>
        <outline val="0"/>
        <shadow val="0"/>
        <u val="none"/>
        <vertAlign val="baseline"/>
        <sz val="10"/>
        <color rgb="FF1A202C"/>
        <name val="Arial"/>
        <charset val="1"/>
        <scheme val="none"/>
      </font>
      <fill>
        <patternFill patternType="solid">
          <fgColor rgb="FFF5F7FA"/>
          <bgColor rgb="FFFFFFFF"/>
        </patternFill>
      </fill>
      <alignment horizontal="center" vertical="center" textRotation="0" wrapText="0" indent="0" justifyLastLine="0" shrinkToFit="0" readingOrder="0"/>
      <border diagonalUp="0" diagonalDown="0">
        <left/>
        <right style="thin">
          <color rgb="FFD1D9E0"/>
        </right>
        <top style="thin">
          <color rgb="FFD1D9E0"/>
        </top>
        <bottom style="thin">
          <color rgb="FFD1D9E0"/>
        </bottom>
        <vertical/>
        <horizontal/>
      </border>
    </dxf>
    <dxf>
      <border outline="0">
        <top style="thin">
          <color rgb="FFD1D9E0"/>
        </top>
      </border>
    </dxf>
    <dxf>
      <border outline="0">
        <bottom style="thin">
          <color rgb="FFD1D9E0"/>
        </bottom>
      </border>
    </dxf>
    <dxf>
      <border outline="0">
        <left style="thin">
          <color rgb="FFD1D9E0"/>
        </left>
        <right style="thin">
          <color rgb="FFD1D9E0"/>
        </right>
        <top style="thin">
          <color rgb="FFD1D9E0"/>
        </top>
        <bottom style="thin">
          <color rgb="FFD1D9E0"/>
        </bottom>
      </border>
    </dxf>
    <dxf>
      <border outline="0">
        <top style="thin">
          <color rgb="FFD1D9E0"/>
        </top>
      </border>
    </dxf>
    <dxf>
      <border outline="0">
        <left style="thin">
          <color rgb="FFD1D9E0"/>
        </left>
        <right style="thin">
          <color rgb="FFD1D9E0"/>
        </right>
        <top style="thin">
          <color rgb="FFD1D9E0"/>
        </top>
        <bottom style="thin">
          <color rgb="FFD1D9E0"/>
        </bottom>
      </border>
    </dxf>
    <dxf>
      <border outline="0">
        <bottom style="thin">
          <color rgb="FFD1D9E0"/>
        </bottom>
      </border>
    </dxf>
    <dxf>
      <font>
        <b/>
        <i val="0"/>
        <strike val="0"/>
        <condense val="0"/>
        <extend val="0"/>
        <outline val="0"/>
        <shadow val="0"/>
        <u val="none"/>
        <vertAlign val="baseline"/>
        <sz val="11"/>
        <color rgb="FFFFFFFF"/>
        <name val="Arial"/>
        <charset val="1"/>
        <scheme val="none"/>
      </font>
      <fill>
        <patternFill patternType="solid">
          <fgColor rgb="FF1A5C38"/>
          <bgColor rgb="FF0F4C81"/>
        </patternFill>
      </fill>
      <alignment horizontal="center" vertical="center" textRotation="0" wrapText="1" indent="0" justifyLastLine="0" shrinkToFit="0" readingOrder="0"/>
      <border diagonalUp="0" diagonalDown="0" outline="0">
        <left style="thin">
          <color rgb="FFD1D9E0"/>
        </left>
        <right style="thin">
          <color rgb="FFD1D9E0"/>
        </right>
        <top/>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A5C38"/>
      <rgbColor rgb="FF000080"/>
      <rgbColor rgb="FF808000"/>
      <rgbColor rgb="FF800080"/>
      <rgbColor rgb="FF008080"/>
      <rgbColor rgb="FFC0C0C0"/>
      <rgbColor rgb="FF808080"/>
      <rgbColor rgb="FF9999FF"/>
      <rgbColor rgb="FF993366"/>
      <rgbColor rgb="FFFEF3E2"/>
      <rgbColor rgb="FFE8F8F0"/>
      <rgbColor rgb="FF660066"/>
      <rgbColor rgb="FFFF8080"/>
      <rgbColor rgb="FF1A6BAD"/>
      <rgbColor rgb="FFD1D9E0"/>
      <rgbColor rgb="FF000080"/>
      <rgbColor rgb="FFFF00FF"/>
      <rgbColor rgb="FFFFFF00"/>
      <rgbColor rgb="FF00FFFF"/>
      <rgbColor rgb="FF800080"/>
      <rgbColor rgb="FF800000"/>
      <rgbColor rgb="FF008080"/>
      <rgbColor rgb="FF0000FF"/>
      <rgbColor rgb="FF00CCFF"/>
      <rgbColor rgb="FFE8F0FE"/>
      <rgbColor rgb="FFD6E4F0"/>
      <rgbColor rgb="FFFDECEA"/>
      <rgbColor rgb="FF99CCFF"/>
      <rgbColor rgb="FFFF99CC"/>
      <rgbColor rgb="FFCC99FF"/>
      <rgbColor rgb="FFF5F7FA"/>
      <rgbColor rgb="FF3366FF"/>
      <rgbColor rgb="FF33CCCC"/>
      <rgbColor rgb="FF99CC00"/>
      <rgbColor rgb="FFFFCC00"/>
      <rgbColor rgb="FFFF9900"/>
      <rgbColor rgb="FFD94F3D"/>
      <rgbColor rgb="FF6B7280"/>
      <rgbColor rgb="FF969696"/>
      <rgbColor rgb="FF0F4C81"/>
      <rgbColor rgb="FF27AE60"/>
      <rgbColor rgb="FF003300"/>
      <rgbColor rgb="FF333300"/>
      <rgbColor rgb="FF7D3C0A"/>
      <rgbColor rgb="FF993366"/>
      <rgbColor rgb="FF333399"/>
      <rgbColor rgb="FF1A202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Revenue grew 13× from Jan 2022 — returns drive every dip</a:t>
            </a:r>
          </a:p>
        </c:rich>
      </c:tx>
      <c:layout>
        <c:manualLayout>
          <c:xMode val="edge"/>
          <c:yMode val="edge"/>
          <c:x val="0.14781955380577427"/>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'Revenue Trends'!$A$5:$A$32</c:f>
              <c:strCache>
                <c:ptCount val="28"/>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TOTAL</c:v>
                </c:pt>
              </c:strCache>
            </c:strRef>
          </c:cat>
          <c:val>
            <c:numRef>
              <c:f>'Revenue Trends'!$B$5:$B$32</c:f>
              <c:numCache>
                <c:formatCode>\$#,##0</c:formatCode>
                <c:ptCount val="28"/>
                <c:pt idx="0">
                  <c:v>1484</c:v>
                </c:pt>
                <c:pt idx="1">
                  <c:v>1322</c:v>
                </c:pt>
                <c:pt idx="2">
                  <c:v>4901</c:v>
                </c:pt>
                <c:pt idx="3">
                  <c:v>4633</c:v>
                </c:pt>
                <c:pt idx="4">
                  <c:v>8599</c:v>
                </c:pt>
                <c:pt idx="5">
                  <c:v>11564</c:v>
                </c:pt>
                <c:pt idx="6">
                  <c:v>10425</c:v>
                </c:pt>
                <c:pt idx="7">
                  <c:v>14489</c:v>
                </c:pt>
                <c:pt idx="8">
                  <c:v>17965</c:v>
                </c:pt>
                <c:pt idx="9">
                  <c:v>20305</c:v>
                </c:pt>
                <c:pt idx="10">
                  <c:v>18190</c:v>
                </c:pt>
                <c:pt idx="11">
                  <c:v>26351</c:v>
                </c:pt>
                <c:pt idx="12">
                  <c:v>28154</c:v>
                </c:pt>
                <c:pt idx="13">
                  <c:v>27192</c:v>
                </c:pt>
                <c:pt idx="14">
                  <c:v>33046</c:v>
                </c:pt>
                <c:pt idx="15">
                  <c:v>37233</c:v>
                </c:pt>
                <c:pt idx="16">
                  <c:v>38309</c:v>
                </c:pt>
                <c:pt idx="17">
                  <c:v>44998</c:v>
                </c:pt>
                <c:pt idx="18">
                  <c:v>54242</c:v>
                </c:pt>
                <c:pt idx="19">
                  <c:v>61773</c:v>
                </c:pt>
                <c:pt idx="20">
                  <c:v>57104</c:v>
                </c:pt>
                <c:pt idx="21">
                  <c:v>66035</c:v>
                </c:pt>
                <c:pt idx="22">
                  <c:v>62307</c:v>
                </c:pt>
                <c:pt idx="23">
                  <c:v>60696</c:v>
                </c:pt>
                <c:pt idx="24">
                  <c:v>71529</c:v>
                </c:pt>
                <c:pt idx="25">
                  <c:v>58456</c:v>
                </c:pt>
                <c:pt idx="26">
                  <c:v>69704</c:v>
                </c:pt>
                <c:pt idx="27">
                  <c:v>911006</c:v>
                </c:pt>
              </c:numCache>
            </c:numRef>
          </c:val>
          <c:smooth val="0"/>
          <c:extLst>
            <c:ext xmlns:c16="http://schemas.microsoft.com/office/drawing/2014/chart" uri="{C3380CC4-5D6E-409C-BE32-E72D297353CC}">
              <c16:uniqueId val="{00000000-BF6E-4DD7-8CB1-12EB80E12524}"/>
            </c:ext>
          </c:extLst>
        </c:ser>
        <c:dLbls>
          <c:showLegendKey val="0"/>
          <c:showVal val="0"/>
          <c:showCatName val="0"/>
          <c:showSerName val="0"/>
          <c:showPercent val="0"/>
          <c:showBubbleSize val="0"/>
        </c:dLbls>
        <c:smooth val="0"/>
        <c:axId val="2023953440"/>
        <c:axId val="1963036640"/>
      </c:lineChart>
      <c:catAx>
        <c:axId val="202395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036640"/>
        <c:crosses val="autoZero"/>
        <c:auto val="1"/>
        <c:lblAlgn val="ctr"/>
        <c:lblOffset val="100"/>
        <c:noMultiLvlLbl val="0"/>
      </c:catAx>
      <c:valAx>
        <c:axId val="1963036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953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Segoe UI" panose="020B0502040204020203" pitchFamily="34" charset="0"/>
                <a:cs typeface="Segoe UI" panose="020B0502040204020203" pitchFamily="34" charset="0"/>
              </a:rPr>
              <a:t>Referral delivers 68% more revenue per customer than Paid Social</a:t>
            </a:r>
            <a:endParaRPr lang="en-US" b="1">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bg1">
                <a:lumMod val="65000"/>
              </a:schemeClr>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FB4D-4827-AE3E-CD3E78F98EDB}"/>
              </c:ext>
            </c:extLst>
          </c:dPt>
          <c:dPt>
            <c:idx val="5"/>
            <c:invertIfNegative val="0"/>
            <c:bubble3D val="0"/>
            <c:spPr>
              <a:solidFill>
                <a:srgbClr val="FF0000"/>
              </a:solidFill>
              <a:ln>
                <a:noFill/>
              </a:ln>
              <a:effectLst/>
            </c:spPr>
            <c:extLst>
              <c:ext xmlns:c16="http://schemas.microsoft.com/office/drawing/2014/chart" uri="{C3380CC4-5D6E-409C-BE32-E72D297353CC}">
                <c16:uniqueId val="{00000002-FB4D-4827-AE3E-CD3E78F98EDB}"/>
              </c:ext>
            </c:extLst>
          </c:dPt>
          <c:cat>
            <c:strRef>
              <c:f>'Campaign &amp; Channel ROI'!$A$21:$A$26</c:f>
              <c:strCache>
                <c:ptCount val="6"/>
                <c:pt idx="0">
                  <c:v>Referral</c:v>
                </c:pt>
                <c:pt idx="1">
                  <c:v>Organic Search</c:v>
                </c:pt>
                <c:pt idx="2">
                  <c:v>Influencer</c:v>
                </c:pt>
                <c:pt idx="3">
                  <c:v>Direct</c:v>
                </c:pt>
                <c:pt idx="4">
                  <c:v>Email</c:v>
                </c:pt>
                <c:pt idx="5">
                  <c:v>Paid Social</c:v>
                </c:pt>
              </c:strCache>
            </c:strRef>
          </c:cat>
          <c:val>
            <c:numRef>
              <c:f>'Campaign &amp; Channel ROI'!$D$21:$D$26</c:f>
              <c:numCache>
                <c:formatCode>\$#,##0</c:formatCode>
                <c:ptCount val="6"/>
                <c:pt idx="0">
                  <c:v>837</c:v>
                </c:pt>
                <c:pt idx="1">
                  <c:v>663</c:v>
                </c:pt>
                <c:pt idx="2">
                  <c:v>623</c:v>
                </c:pt>
                <c:pt idx="3">
                  <c:v>589</c:v>
                </c:pt>
                <c:pt idx="4">
                  <c:v>579</c:v>
                </c:pt>
                <c:pt idx="5">
                  <c:v>499</c:v>
                </c:pt>
              </c:numCache>
            </c:numRef>
          </c:val>
          <c:extLst>
            <c:ext xmlns:c16="http://schemas.microsoft.com/office/drawing/2014/chart" uri="{C3380CC4-5D6E-409C-BE32-E72D297353CC}">
              <c16:uniqueId val="{00000000-FB4D-4827-AE3E-CD3E78F98EDB}"/>
            </c:ext>
          </c:extLst>
        </c:ser>
        <c:dLbls>
          <c:showLegendKey val="0"/>
          <c:showVal val="0"/>
          <c:showCatName val="0"/>
          <c:showSerName val="0"/>
          <c:showPercent val="0"/>
          <c:showBubbleSize val="0"/>
        </c:dLbls>
        <c:gapWidth val="219"/>
        <c:overlap val="-27"/>
        <c:axId val="26427888"/>
        <c:axId val="26436528"/>
      </c:barChart>
      <c:catAx>
        <c:axId val="2642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36528"/>
        <c:crosses val="autoZero"/>
        <c:auto val="1"/>
        <c:lblAlgn val="ctr"/>
        <c:lblOffset val="100"/>
        <c:noMultiLvlLbl val="0"/>
      </c:catAx>
      <c:valAx>
        <c:axId val="264365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27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Segoe UI" panose="020B0502040204020203" pitchFamily="34" charset="0"/>
                <a:cs typeface="Segoe UI" panose="020B0502040204020203" pitchFamily="34" charset="0"/>
              </a:rPr>
              <a:t>Champions (23%) generate 36% of all revenue</a:t>
            </a:r>
            <a:endParaRPr lang="en-US" b="1">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'RFM Customer Segments'!$A$6:$A$11</c:f>
              <c:strCache>
                <c:ptCount val="6"/>
                <c:pt idx="0">
                  <c:v>Champions</c:v>
                </c:pt>
                <c:pt idx="1">
                  <c:v>Loyal Customers</c:v>
                </c:pt>
                <c:pt idx="2">
                  <c:v>At Risk</c:v>
                </c:pt>
                <c:pt idx="3">
                  <c:v>Potential Loyalists</c:v>
                </c:pt>
                <c:pt idx="4">
                  <c:v>New Customers</c:v>
                </c:pt>
                <c:pt idx="5">
                  <c:v>Lost Customers</c:v>
                </c:pt>
              </c:strCache>
            </c:strRef>
          </c:cat>
          <c:val>
            <c:numRef>
              <c:f>'RFM Customer Segments'!$D$6:$D$11</c:f>
              <c:numCache>
                <c:formatCode>\$#,##0</c:formatCode>
                <c:ptCount val="6"/>
                <c:pt idx="0">
                  <c:v>331489</c:v>
                </c:pt>
                <c:pt idx="1">
                  <c:v>244515</c:v>
                </c:pt>
                <c:pt idx="2">
                  <c:v>154633</c:v>
                </c:pt>
                <c:pt idx="3">
                  <c:v>34644</c:v>
                </c:pt>
                <c:pt idx="4">
                  <c:v>45031</c:v>
                </c:pt>
                <c:pt idx="5">
                  <c:v>100696</c:v>
                </c:pt>
              </c:numCache>
            </c:numRef>
          </c:val>
          <c:extLst>
            <c:ext xmlns:c16="http://schemas.microsoft.com/office/drawing/2014/chart" uri="{C3380CC4-5D6E-409C-BE32-E72D297353CC}">
              <c16:uniqueId val="{00000000-1D78-42CA-9DF4-5F160182609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8</xdr:col>
      <xdr:colOff>385762</xdr:colOff>
      <xdr:row>13</xdr:row>
      <xdr:rowOff>102392</xdr:rowOff>
    </xdr:from>
    <xdr:to>
      <xdr:col>16</xdr:col>
      <xdr:colOff>452437</xdr:colOff>
      <xdr:row>23</xdr:row>
      <xdr:rowOff>238125</xdr:rowOff>
    </xdr:to>
    <xdr:graphicFrame macro="">
      <xdr:nvGraphicFramePr>
        <xdr:cNvPr id="2" name="Chart 1">
          <a:extLst>
            <a:ext uri="{FF2B5EF4-FFF2-40B4-BE49-F238E27FC236}">
              <a16:creationId xmlns:a16="http://schemas.microsoft.com/office/drawing/2014/main" id="{EDA1ACA7-3DE2-B7D6-D430-86573CC982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381000</xdr:colOff>
      <xdr:row>17</xdr:row>
      <xdr:rowOff>114300</xdr:rowOff>
    </xdr:from>
    <xdr:to>
      <xdr:col>13</xdr:col>
      <xdr:colOff>457200</xdr:colOff>
      <xdr:row>27</xdr:row>
      <xdr:rowOff>257175</xdr:rowOff>
    </xdr:to>
    <xdr:graphicFrame macro="">
      <xdr:nvGraphicFramePr>
        <xdr:cNvPr id="2" name="Chart 1">
          <a:extLst>
            <a:ext uri="{FF2B5EF4-FFF2-40B4-BE49-F238E27FC236}">
              <a16:creationId xmlns:a16="http://schemas.microsoft.com/office/drawing/2014/main" id="{2469E598-AA53-C01D-3E6B-4F788F1C2B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95250</xdr:colOff>
      <xdr:row>3</xdr:row>
      <xdr:rowOff>69056</xdr:rowOff>
    </xdr:from>
    <xdr:to>
      <xdr:col>14</xdr:col>
      <xdr:colOff>340518</xdr:colOff>
      <xdr:row>10</xdr:row>
      <xdr:rowOff>261937</xdr:rowOff>
    </xdr:to>
    <xdr:graphicFrame macro="">
      <xdr:nvGraphicFramePr>
        <xdr:cNvPr id="3" name="Chart 2">
          <a:extLst>
            <a:ext uri="{FF2B5EF4-FFF2-40B4-BE49-F238E27FC236}">
              <a16:creationId xmlns:a16="http://schemas.microsoft.com/office/drawing/2014/main" id="{6D064E43-3FAA-FBCA-38AC-2534018BA8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3D233A2-93F9-4F50-850D-D3DC41C30B82}" name="Table5" displayName="Table5" ref="A4:H32" totalsRowShown="0" headerRowDxfId="0" headerRowBorderDxfId="2" tableBorderDxfId="3" totalsRowBorderDxfId="1">
  <autoFilter ref="A4:H32" xr:uid="{13D233A2-93F9-4F50-850D-D3DC41C30B82}"/>
  <tableColumns count="8">
    <tableColumn id="1" xr3:uid="{113A9B51-1243-48C0-924E-38920DA5073B}" name="Month"/>
    <tableColumn id="2" xr3:uid="{D5BCEE56-585B-442C-BCB1-EB8ECDD629DD}" name="Net Revenue"/>
    <tableColumn id="3" xr3:uid="{0BAF9C35-741C-4033-8D66-A48E8359D79F}" name="Net Margin"/>
    <tableColumn id="4" xr3:uid="{FE6B8215-E4DD-461E-A50E-33EAC0507AFB}" name="Margin %">
      <calculatedColumnFormula>C5/B5</calculatedColumnFormula>
    </tableColumn>
    <tableColumn id="5" xr3:uid="{4A1C5F2E-4D9D-4403-8757-A9AFA9C63B15}" name="Active Customers"/>
    <tableColumn id="6" xr3:uid="{00D2CEAB-648E-474A-87CF-93619E889E1D}" name="Orders"/>
    <tableColumn id="7" xr3:uid="{2C1C0246-79EF-4762-9B79-12779D795E84}" name="MoM Growth %"/>
    <tableColumn id="8" xr3:uid="{8D598C93-69A8-424E-AE18-960F244E80B9}" name="Cumulative Reven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812C11-FED1-45DA-8232-7E9CFBC5A241}" name="Table3" displayName="Table3" ref="A5:H11" totalsRowShown="0" headerRowDxfId="15" dataDxfId="16" headerRowBorderDxfId="26" tableBorderDxfId="27" totalsRowBorderDxfId="25">
  <autoFilter ref="A5:H11" xr:uid="{4B812C11-FED1-45DA-8232-7E9CFBC5A241}"/>
  <tableColumns count="8">
    <tableColumn id="1" xr3:uid="{673C9B91-7A4F-4C5E-84AE-C1481F78A4AD}" name="Campaign Type" dataDxfId="24"/>
    <tableColumn id="2" xr3:uid="{66E342DE-A59C-4E24-9426-E7F259B482DF}" name="Total Sends" dataDxfId="23"/>
    <tableColumn id="3" xr3:uid="{D7E4C938-8946-4F17-B451-C72F8B4ED18C}" name="Conversions" dataDxfId="22"/>
    <tableColumn id="4" xr3:uid="{AFB4E2BA-1D35-499B-A062-05C261A11E6E}" name="Conv Rate %" dataDxfId="21"/>
    <tableColumn id="5" xr3:uid="{AAF7A667-9B9F-4354-8F5B-D8EC18F39EF1}" name="Total Cost ($)" dataDxfId="20"/>
    <tableColumn id="6" xr3:uid="{C4BEFE1C-8392-480C-9501-6B2675644654}" name="Revenue ($)" dataDxfId="19"/>
    <tableColumn id="7" xr3:uid="{CBDCBE45-6E2A-425F-B0DD-4CDCE72E71A8}" name="Net ROI ($)" dataDxfId="18"/>
    <tableColumn id="8" xr3:uid="{01012850-9B5D-4EF3-8418-D4DA96431AC8}" name="Cost per Conv ($)" dataDxf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8EC2EA-1E87-4C21-9485-F1FF7658B1E5}" name="Table4" displayName="Table4" ref="A20:G26" totalsRowShown="0" headerRowDxfId="4" dataDxfId="5" headerRowBorderDxfId="13" tableBorderDxfId="14" totalsRowBorderDxfId="12">
  <autoFilter ref="A20:G26" xr:uid="{978EC2EA-1E87-4C21-9485-F1FF7658B1E5}"/>
  <tableColumns count="7">
    <tableColumn id="1" xr3:uid="{3DD84C3E-B27F-442F-9D99-F78D66CBD11A}" name="Channel" dataDxfId="11"/>
    <tableColumn id="2" xr3:uid="{674E4789-CE3F-4C54-B2CD-9629857B983E}" name="Customers" dataDxfId="10"/>
    <tableColumn id="3" xr3:uid="{4BBBDE38-892A-4FB8-A949-141D0344A564}" name="Total Revenue" dataDxfId="9"/>
    <tableColumn id="4" xr3:uid="{57CEC507-8AE0-4973-8C4D-D3040CA16480}" name="Rev/Customer"/>
    <tableColumn id="5" xr3:uid="{0B225490-DD9A-4EAE-9B3E-70022ADCA925}" name="Margin/Customer" dataDxfId="8"/>
    <tableColumn id="6" xr3:uid="{59129FCA-E7FB-4755-B502-F3A5D50D229C}" name="Return Rate" dataDxfId="7"/>
    <tableColumn id="7" xr3:uid="{E8721708-B6F2-440D-BBCB-FCFC1680BE60}" name="Budget Priority" dataDxfId="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2A2FE0-2F03-4E2A-A5ED-BF85D08A7B8C}" name="Table1" displayName="Table1" ref="A5:G11" totalsRowShown="0" headerRowDxfId="43" headerRowBorderDxfId="42" tableBorderDxfId="41" totalsRowBorderDxfId="40">
  <autoFilter ref="A5:G11" xr:uid="{FC2A2FE0-2F03-4E2A-A5ED-BF85D08A7B8C}"/>
  <tableColumns count="7">
    <tableColumn id="1" xr3:uid="{77658EA7-8EFD-4757-AAC6-ECFABBE95CD1}" name="RFM Segment"/>
    <tableColumn id="2" xr3:uid="{DDA6DC33-9760-4C7A-A5BC-10A65BDEAB90}" name="Customers"/>
    <tableColumn id="3" xr3:uid="{9496C5DC-0B7C-4552-A777-9A3ADB588F4E}" name="Avg Revenue"/>
    <tableColumn id="4" xr3:uid="{D92B66F3-E350-4BE0-92B5-725B025B5E31}" name="Total Revenue"/>
    <tableColumn id="5" xr3:uid="{9FD5FB9A-6A62-448E-A0DF-11A01D7A889A}" name="% of Revenue"/>
    <tableColumn id="6" xr3:uid="{A04C1741-8CD6-46C1-BBBB-C9A1E9E9B75C}" name="Avg Pred CLV"/>
    <tableColumn id="7" xr3:uid="{36041094-0562-4B10-8221-58A040C3895C}" name="Campaign Ac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33370C-FD44-4DB9-B9BF-EDA1BB5255C5}" name="Table2" displayName="Table2" ref="A15:G21" totalsRowShown="0" headerRowDxfId="28" dataDxfId="29" headerRowBorderDxfId="38" tableBorderDxfId="39" totalsRowBorderDxfId="37">
  <autoFilter ref="A15:G21" xr:uid="{B033370C-FD44-4DB9-B9BF-EDA1BB5255C5}"/>
  <tableColumns count="7">
    <tableColumn id="1" xr3:uid="{2BA34377-E1A9-4715-9FDA-C01D5703B890}" name="Category" dataDxfId="36"/>
    <tableColumn id="2" xr3:uid="{ED781D27-ABF6-4058-8AD6-E0DAEE26C7FA}" name="Orders" dataDxfId="35"/>
    <tableColumn id="3" xr3:uid="{A060B7D9-E5B7-4822-90CF-A006374B1065}" name="Gross Revenue" dataDxfId="34"/>
    <tableColumn id="4" xr3:uid="{A14429ED-E42E-4AD5-97A2-3A7FB2D0461D}" name="Net Revenue" dataDxfId="33"/>
    <tableColumn id="5" xr3:uid="{6653A0C0-4845-445A-94F8-B5C3A6214D6E}" name="Net Margin" dataDxfId="32"/>
    <tableColumn id="6" xr3:uid="{3DAEB4FB-FC8A-48B9-AF7F-B3DEEB7CFC66}" name="Return Rate" dataDxfId="31"/>
    <tableColumn id="7" xr3:uid="{177C985B-2B12-49CD-B045-DAB051C83665}" name="Revenue Lost to Returns" dataDxfId="3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
  <sheetViews>
    <sheetView showGridLines="0" zoomScale="90" zoomScaleNormal="90" workbookViewId="0">
      <selection activeCell="O10" sqref="O10"/>
    </sheetView>
  </sheetViews>
  <sheetFormatPr defaultColWidth="8.7109375" defaultRowHeight="15" x14ac:dyDescent="0.25"/>
  <cols>
    <col min="1" max="1" width="54.28515625" customWidth="1"/>
    <col min="2" max="6" width="22" customWidth="1"/>
    <col min="7" max="7" width="4" customWidth="1"/>
  </cols>
  <sheetData>
    <row r="1" spans="1:7" ht="37.5" customHeight="1" x14ac:dyDescent="0.25">
      <c r="A1" s="57" t="s">
        <v>0</v>
      </c>
      <c r="B1" s="57"/>
      <c r="C1" s="57"/>
      <c r="D1" s="57"/>
      <c r="E1" s="57"/>
      <c r="F1" s="57"/>
      <c r="G1" s="57"/>
    </row>
    <row r="2" spans="1:7" ht="18" customHeight="1" x14ac:dyDescent="0.25">
      <c r="A2" s="58" t="s">
        <v>1</v>
      </c>
      <c r="B2" s="58"/>
      <c r="C2" s="58"/>
      <c r="D2" s="58"/>
      <c r="E2" s="58"/>
      <c r="F2" s="58"/>
      <c r="G2" s="58"/>
    </row>
    <row r="3" spans="1:7" ht="9.75" customHeight="1" x14ac:dyDescent="0.25"/>
    <row r="4" spans="1:7" ht="21.75" customHeight="1" x14ac:dyDescent="0.25">
      <c r="A4" s="1" t="s">
        <v>2</v>
      </c>
      <c r="B4" s="1" t="s">
        <v>3</v>
      </c>
      <c r="C4" s="1" t="s">
        <v>4</v>
      </c>
      <c r="D4" s="2" t="s">
        <v>5</v>
      </c>
      <c r="E4" s="3" t="s">
        <v>6</v>
      </c>
      <c r="F4" s="1" t="s">
        <v>7</v>
      </c>
    </row>
    <row r="5" spans="1:7" ht="36" customHeight="1" x14ac:dyDescent="0.25">
      <c r="A5" s="35">
        <v>911006</v>
      </c>
      <c r="B5" s="35">
        <v>411869</v>
      </c>
      <c r="C5" s="4">
        <v>8486</v>
      </c>
      <c r="D5" s="36">
        <v>0.219</v>
      </c>
      <c r="E5" s="5" t="s">
        <v>8</v>
      </c>
      <c r="F5" s="37">
        <v>0.86199999999999999</v>
      </c>
    </row>
    <row r="6" spans="1:7" ht="18" customHeight="1" x14ac:dyDescent="0.25">
      <c r="A6" s="6" t="s">
        <v>9</v>
      </c>
      <c r="B6" s="6" t="s">
        <v>10</v>
      </c>
      <c r="C6" s="6" t="s">
        <v>11</v>
      </c>
      <c r="D6" s="6" t="s">
        <v>12</v>
      </c>
      <c r="E6" s="6" t="s">
        <v>13</v>
      </c>
      <c r="F6" s="6" t="s">
        <v>14</v>
      </c>
    </row>
    <row r="7" spans="1:7" ht="9.75" customHeight="1" x14ac:dyDescent="0.25"/>
    <row r="8" spans="1:7" ht="24" customHeight="1" x14ac:dyDescent="0.25">
      <c r="A8" s="55" t="s">
        <v>130</v>
      </c>
      <c r="B8" s="55"/>
      <c r="C8" s="55"/>
      <c r="D8" s="55"/>
      <c r="E8" s="55"/>
      <c r="F8" s="55"/>
      <c r="G8" s="55"/>
    </row>
    <row r="9" spans="1:7" ht="43.5" customHeight="1" x14ac:dyDescent="0.25">
      <c r="A9" s="7" t="s">
        <v>15</v>
      </c>
      <c r="B9" s="54" t="s">
        <v>16</v>
      </c>
      <c r="C9" s="54"/>
      <c r="D9" s="54"/>
      <c r="E9" s="54"/>
      <c r="F9" s="54"/>
      <c r="G9" s="54"/>
    </row>
    <row r="10" spans="1:7" ht="43.5" customHeight="1" x14ac:dyDescent="0.25">
      <c r="A10" s="8" t="s">
        <v>17</v>
      </c>
      <c r="B10" s="56" t="s">
        <v>18</v>
      </c>
      <c r="C10" s="56"/>
      <c r="D10" s="56"/>
      <c r="E10" s="56"/>
      <c r="F10" s="56"/>
      <c r="G10" s="56"/>
    </row>
    <row r="11" spans="1:7" ht="43.5" customHeight="1" x14ac:dyDescent="0.25">
      <c r="A11" s="9" t="s">
        <v>19</v>
      </c>
      <c r="B11" s="54" t="s">
        <v>20</v>
      </c>
      <c r="C11" s="54"/>
      <c r="D11" s="54"/>
      <c r="E11" s="54"/>
      <c r="F11" s="54"/>
      <c r="G11" s="54"/>
    </row>
    <row r="12" spans="1:7" ht="9.75" customHeight="1" x14ac:dyDescent="0.25"/>
    <row r="13" spans="1:7" ht="24" customHeight="1" x14ac:dyDescent="0.25">
      <c r="A13" s="55" t="s">
        <v>131</v>
      </c>
      <c r="B13" s="55"/>
      <c r="C13" s="55"/>
      <c r="D13" s="55"/>
      <c r="E13" s="55"/>
      <c r="F13" s="55"/>
      <c r="G13" s="55"/>
    </row>
    <row r="14" spans="1:7" ht="37.5" customHeight="1" x14ac:dyDescent="0.25">
      <c r="A14" s="10" t="s">
        <v>21</v>
      </c>
      <c r="B14" s="54" t="s">
        <v>22</v>
      </c>
      <c r="C14" s="54"/>
      <c r="D14" s="54"/>
      <c r="E14" s="54"/>
      <c r="F14" s="54"/>
      <c r="G14" s="54"/>
    </row>
    <row r="15" spans="1:7" ht="37.5" customHeight="1" x14ac:dyDescent="0.25">
      <c r="A15" s="8" t="s">
        <v>23</v>
      </c>
      <c r="B15" s="56" t="s">
        <v>24</v>
      </c>
      <c r="C15" s="56"/>
      <c r="D15" s="56"/>
      <c r="E15" s="56"/>
      <c r="F15" s="56"/>
      <c r="G15" s="56"/>
    </row>
    <row r="16" spans="1:7" ht="37.5" customHeight="1" x14ac:dyDescent="0.25">
      <c r="A16" s="10" t="s">
        <v>25</v>
      </c>
      <c r="B16" s="54" t="s">
        <v>26</v>
      </c>
      <c r="C16" s="54"/>
      <c r="D16" s="54"/>
      <c r="E16" s="54"/>
      <c r="F16" s="54"/>
      <c r="G16" s="54"/>
    </row>
  </sheetData>
  <mergeCells count="10">
    <mergeCell ref="A1:G1"/>
    <mergeCell ref="A2:G2"/>
    <mergeCell ref="A8:G8"/>
    <mergeCell ref="B9:G9"/>
    <mergeCell ref="B10:G10"/>
    <mergeCell ref="B11:G11"/>
    <mergeCell ref="A13:G13"/>
    <mergeCell ref="B14:G14"/>
    <mergeCell ref="B15:G15"/>
    <mergeCell ref="B16:G1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showGridLines="0" topLeftCell="B1" zoomScale="80" zoomScaleNormal="80" workbookViewId="0">
      <selection activeCell="T26" sqref="T26"/>
    </sheetView>
  </sheetViews>
  <sheetFormatPr defaultColWidth="8.7109375" defaultRowHeight="15" x14ac:dyDescent="0.25"/>
  <cols>
    <col min="1" max="1" width="14" customWidth="1"/>
    <col min="2" max="2" width="18.42578125" customWidth="1"/>
    <col min="3" max="3" width="16.42578125" customWidth="1"/>
    <col min="4" max="4" width="15.42578125" customWidth="1"/>
    <col min="5" max="5" width="23" customWidth="1"/>
    <col min="6" max="6" width="13.28515625" customWidth="1"/>
    <col min="7" max="7" width="21.140625" customWidth="1"/>
    <col min="8" max="8" width="27.140625" customWidth="1"/>
  </cols>
  <sheetData>
    <row r="1" spans="1:8" ht="37.5" customHeight="1" x14ac:dyDescent="0.25">
      <c r="A1" s="57" t="s">
        <v>27</v>
      </c>
      <c r="B1" s="57"/>
      <c r="C1" s="57"/>
      <c r="D1" s="57"/>
      <c r="E1" s="57"/>
      <c r="F1" s="57"/>
      <c r="G1" s="57"/>
    </row>
    <row r="2" spans="1:8" ht="18" customHeight="1" x14ac:dyDescent="0.25">
      <c r="A2" s="58" t="s">
        <v>28</v>
      </c>
      <c r="B2" s="58"/>
      <c r="C2" s="58"/>
      <c r="D2" s="58"/>
      <c r="E2" s="58"/>
      <c r="F2" s="58"/>
      <c r="G2" s="58"/>
    </row>
    <row r="3" spans="1:8" ht="9.75" customHeight="1" x14ac:dyDescent="0.25"/>
    <row r="4" spans="1:8" ht="25.5" customHeight="1" x14ac:dyDescent="0.25">
      <c r="A4" s="46" t="s">
        <v>29</v>
      </c>
      <c r="B4" s="47" t="s">
        <v>30</v>
      </c>
      <c r="C4" s="47" t="s">
        <v>31</v>
      </c>
      <c r="D4" s="47" t="s">
        <v>32</v>
      </c>
      <c r="E4" s="47" t="s">
        <v>33</v>
      </c>
      <c r="F4" s="47" t="s">
        <v>34</v>
      </c>
      <c r="G4" s="47" t="s">
        <v>35</v>
      </c>
      <c r="H4" s="48" t="s">
        <v>36</v>
      </c>
    </row>
    <row r="5" spans="1:8" ht="19.5" customHeight="1" x14ac:dyDescent="0.25">
      <c r="A5" s="60" t="s">
        <v>37</v>
      </c>
      <c r="B5" s="11">
        <v>1484</v>
      </c>
      <c r="C5" s="11">
        <v>748</v>
      </c>
      <c r="D5" s="12">
        <f t="shared" ref="D5:D32" si="0">C5/B5</f>
        <v>0.50404312668463613</v>
      </c>
      <c r="E5" s="13">
        <v>10</v>
      </c>
      <c r="F5" s="13">
        <v>11</v>
      </c>
      <c r="G5" s="14" t="s">
        <v>38</v>
      </c>
      <c r="H5" s="62">
        <f>B5</f>
        <v>1484</v>
      </c>
    </row>
    <row r="6" spans="1:8" ht="19.5" customHeight="1" x14ac:dyDescent="0.25">
      <c r="A6" s="41" t="s">
        <v>39</v>
      </c>
      <c r="B6" s="15">
        <v>1322</v>
      </c>
      <c r="C6" s="15">
        <v>609</v>
      </c>
      <c r="D6" s="16">
        <f t="shared" si="0"/>
        <v>0.46066565809379728</v>
      </c>
      <c r="E6" s="17">
        <v>20</v>
      </c>
      <c r="F6" s="17">
        <v>21</v>
      </c>
      <c r="G6" s="18">
        <f t="shared" ref="G6:G31" si="1">(B6-B5)/B5</f>
        <v>-0.1091644204851752</v>
      </c>
      <c r="H6" s="61">
        <f t="shared" ref="H6:H31" si="2">H5+B6</f>
        <v>2806</v>
      </c>
    </row>
    <row r="7" spans="1:8" ht="19.5" customHeight="1" x14ac:dyDescent="0.25">
      <c r="A7" s="60" t="s">
        <v>40</v>
      </c>
      <c r="B7" s="11">
        <v>4901</v>
      </c>
      <c r="C7" s="11">
        <v>2305</v>
      </c>
      <c r="D7" s="12">
        <f t="shared" si="0"/>
        <v>0.47031218118751278</v>
      </c>
      <c r="E7" s="13">
        <v>41</v>
      </c>
      <c r="F7" s="13">
        <v>43</v>
      </c>
      <c r="G7" s="12">
        <f t="shared" si="1"/>
        <v>2.7072617246596065</v>
      </c>
      <c r="H7" s="62">
        <f t="shared" si="2"/>
        <v>7707</v>
      </c>
    </row>
    <row r="8" spans="1:8" ht="19.5" customHeight="1" x14ac:dyDescent="0.25">
      <c r="A8" s="41" t="s">
        <v>41</v>
      </c>
      <c r="B8" s="15">
        <v>4633</v>
      </c>
      <c r="C8" s="15">
        <v>1984</v>
      </c>
      <c r="D8" s="16">
        <f t="shared" si="0"/>
        <v>0.42823224692423917</v>
      </c>
      <c r="E8" s="17">
        <v>41</v>
      </c>
      <c r="F8" s="17">
        <v>42</v>
      </c>
      <c r="G8" s="18">
        <f t="shared" si="1"/>
        <v>-5.4682717812691288E-2</v>
      </c>
      <c r="H8" s="61">
        <f t="shared" si="2"/>
        <v>12340</v>
      </c>
    </row>
    <row r="9" spans="1:8" ht="19.5" customHeight="1" x14ac:dyDescent="0.25">
      <c r="A9" s="60" t="s">
        <v>42</v>
      </c>
      <c r="B9" s="11">
        <v>8599</v>
      </c>
      <c r="C9" s="11">
        <v>3827</v>
      </c>
      <c r="D9" s="12">
        <f t="shared" si="0"/>
        <v>0.44505175020351201</v>
      </c>
      <c r="E9" s="13">
        <v>64</v>
      </c>
      <c r="F9" s="13">
        <v>74</v>
      </c>
      <c r="G9" s="12">
        <f t="shared" si="1"/>
        <v>0.85603280811569182</v>
      </c>
      <c r="H9" s="62">
        <f t="shared" si="2"/>
        <v>20939</v>
      </c>
    </row>
    <row r="10" spans="1:8" ht="19.5" customHeight="1" x14ac:dyDescent="0.25">
      <c r="A10" s="41" t="s">
        <v>43</v>
      </c>
      <c r="B10" s="15">
        <v>11564</v>
      </c>
      <c r="C10" s="15">
        <v>5038</v>
      </c>
      <c r="D10" s="16">
        <f t="shared" si="0"/>
        <v>0.43566240055344174</v>
      </c>
      <c r="E10" s="17">
        <v>90</v>
      </c>
      <c r="F10" s="17">
        <v>103</v>
      </c>
      <c r="G10" s="16">
        <f t="shared" si="1"/>
        <v>0.34480753575997208</v>
      </c>
      <c r="H10" s="61">
        <f t="shared" si="2"/>
        <v>32503</v>
      </c>
    </row>
    <row r="11" spans="1:8" ht="19.5" customHeight="1" x14ac:dyDescent="0.25">
      <c r="A11" s="60" t="s">
        <v>44</v>
      </c>
      <c r="B11" s="11">
        <v>10425</v>
      </c>
      <c r="C11" s="11">
        <v>4619</v>
      </c>
      <c r="D11" s="12">
        <f t="shared" si="0"/>
        <v>0.44306954436450841</v>
      </c>
      <c r="E11" s="13">
        <v>92</v>
      </c>
      <c r="F11" s="13">
        <v>99</v>
      </c>
      <c r="G11" s="19">
        <f t="shared" si="1"/>
        <v>-9.8495330335524045E-2</v>
      </c>
      <c r="H11" s="62">
        <f t="shared" si="2"/>
        <v>42928</v>
      </c>
    </row>
    <row r="12" spans="1:8" ht="19.5" customHeight="1" x14ac:dyDescent="0.25">
      <c r="A12" s="41" t="s">
        <v>45</v>
      </c>
      <c r="B12" s="15">
        <v>14489</v>
      </c>
      <c r="C12" s="15">
        <v>6245</v>
      </c>
      <c r="D12" s="16">
        <f t="shared" si="0"/>
        <v>0.43101663330802675</v>
      </c>
      <c r="E12" s="17">
        <v>116</v>
      </c>
      <c r="F12" s="17">
        <v>138</v>
      </c>
      <c r="G12" s="16">
        <f t="shared" si="1"/>
        <v>0.38983213429256597</v>
      </c>
      <c r="H12" s="61">
        <f t="shared" si="2"/>
        <v>57417</v>
      </c>
    </row>
    <row r="13" spans="1:8" ht="19.5" customHeight="1" x14ac:dyDescent="0.25">
      <c r="A13" s="60" t="s">
        <v>46</v>
      </c>
      <c r="B13" s="11">
        <v>17965</v>
      </c>
      <c r="C13" s="11">
        <v>8096</v>
      </c>
      <c r="D13" s="12">
        <f t="shared" si="0"/>
        <v>0.4506540495407737</v>
      </c>
      <c r="E13" s="13">
        <v>159</v>
      </c>
      <c r="F13" s="13">
        <v>186</v>
      </c>
      <c r="G13" s="12">
        <f t="shared" si="1"/>
        <v>0.23990613568914348</v>
      </c>
      <c r="H13" s="62">
        <f t="shared" si="2"/>
        <v>75382</v>
      </c>
    </row>
    <row r="14" spans="1:8" ht="19.5" customHeight="1" x14ac:dyDescent="0.25">
      <c r="A14" s="41" t="s">
        <v>47</v>
      </c>
      <c r="B14" s="15">
        <v>20305</v>
      </c>
      <c r="C14" s="15">
        <v>9292</v>
      </c>
      <c r="D14" s="16">
        <f t="shared" si="0"/>
        <v>0.45762127554789461</v>
      </c>
      <c r="E14" s="17">
        <v>174</v>
      </c>
      <c r="F14" s="17">
        <v>195</v>
      </c>
      <c r="G14" s="16">
        <f t="shared" si="1"/>
        <v>0.13025327024770386</v>
      </c>
      <c r="H14" s="61">
        <f t="shared" si="2"/>
        <v>95687</v>
      </c>
    </row>
    <row r="15" spans="1:8" ht="19.5" customHeight="1" x14ac:dyDescent="0.25">
      <c r="A15" s="60" t="s">
        <v>48</v>
      </c>
      <c r="B15" s="11">
        <v>18190</v>
      </c>
      <c r="C15" s="11">
        <v>8587</v>
      </c>
      <c r="D15" s="12">
        <f t="shared" si="0"/>
        <v>0.47207256734469488</v>
      </c>
      <c r="E15" s="13">
        <v>153</v>
      </c>
      <c r="F15" s="13">
        <v>170</v>
      </c>
      <c r="G15" s="19">
        <f t="shared" si="1"/>
        <v>-0.10416153656734795</v>
      </c>
      <c r="H15" s="62">
        <f t="shared" si="2"/>
        <v>113877</v>
      </c>
    </row>
    <row r="16" spans="1:8" ht="19.5" customHeight="1" x14ac:dyDescent="0.25">
      <c r="A16" s="41" t="s">
        <v>49</v>
      </c>
      <c r="B16" s="15">
        <v>26351</v>
      </c>
      <c r="C16" s="15">
        <v>11927</v>
      </c>
      <c r="D16" s="16">
        <f t="shared" si="0"/>
        <v>0.45262039391294451</v>
      </c>
      <c r="E16" s="17">
        <v>193</v>
      </c>
      <c r="F16" s="17">
        <v>232</v>
      </c>
      <c r="G16" s="16">
        <f t="shared" si="1"/>
        <v>0.44865310610225401</v>
      </c>
      <c r="H16" s="61">
        <f t="shared" si="2"/>
        <v>140228</v>
      </c>
    </row>
    <row r="17" spans="1:8" ht="19.5" customHeight="1" x14ac:dyDescent="0.25">
      <c r="A17" s="60" t="s">
        <v>50</v>
      </c>
      <c r="B17" s="11">
        <v>28154</v>
      </c>
      <c r="C17" s="11">
        <v>11939</v>
      </c>
      <c r="D17" s="12">
        <f t="shared" si="0"/>
        <v>0.42406052425943025</v>
      </c>
      <c r="E17" s="13">
        <v>210</v>
      </c>
      <c r="F17" s="13">
        <v>254</v>
      </c>
      <c r="G17" s="12">
        <f t="shared" si="1"/>
        <v>6.8422450760881937E-2</v>
      </c>
      <c r="H17" s="62">
        <f t="shared" si="2"/>
        <v>168382</v>
      </c>
    </row>
    <row r="18" spans="1:8" ht="19.5" customHeight="1" x14ac:dyDescent="0.25">
      <c r="A18" s="41" t="s">
        <v>51</v>
      </c>
      <c r="B18" s="15">
        <v>27192</v>
      </c>
      <c r="C18" s="15">
        <v>12465</v>
      </c>
      <c r="D18" s="16">
        <f t="shared" si="0"/>
        <v>0.45840688437775817</v>
      </c>
      <c r="E18" s="17">
        <v>230</v>
      </c>
      <c r="F18" s="17">
        <v>270</v>
      </c>
      <c r="G18" s="18">
        <f t="shared" si="1"/>
        <v>-3.4169212190097324E-2</v>
      </c>
      <c r="H18" s="61">
        <f t="shared" si="2"/>
        <v>195574</v>
      </c>
    </row>
    <row r="19" spans="1:8" ht="19.5" customHeight="1" x14ac:dyDescent="0.25">
      <c r="A19" s="60" t="s">
        <v>52</v>
      </c>
      <c r="B19" s="11">
        <v>33046</v>
      </c>
      <c r="C19" s="11">
        <v>14720</v>
      </c>
      <c r="D19" s="12">
        <f t="shared" si="0"/>
        <v>0.44543969012891121</v>
      </c>
      <c r="E19" s="13">
        <v>275</v>
      </c>
      <c r="F19" s="13">
        <v>323</v>
      </c>
      <c r="G19" s="12">
        <f t="shared" si="1"/>
        <v>0.21528390703147984</v>
      </c>
      <c r="H19" s="62">
        <f t="shared" si="2"/>
        <v>228620</v>
      </c>
    </row>
    <row r="20" spans="1:8" ht="19.5" customHeight="1" x14ac:dyDescent="0.25">
      <c r="A20" s="41" t="s">
        <v>53</v>
      </c>
      <c r="B20" s="15">
        <v>37233</v>
      </c>
      <c r="C20" s="15">
        <v>16908</v>
      </c>
      <c r="D20" s="16">
        <f t="shared" si="0"/>
        <v>0.45411328660059624</v>
      </c>
      <c r="E20" s="17">
        <v>302</v>
      </c>
      <c r="F20" s="17">
        <v>353</v>
      </c>
      <c r="G20" s="16">
        <f t="shared" si="1"/>
        <v>0.12670217272892331</v>
      </c>
      <c r="H20" s="61">
        <f t="shared" si="2"/>
        <v>265853</v>
      </c>
    </row>
    <row r="21" spans="1:8" ht="19.5" customHeight="1" x14ac:dyDescent="0.25">
      <c r="A21" s="60" t="s">
        <v>54</v>
      </c>
      <c r="B21" s="11">
        <v>38309</v>
      </c>
      <c r="C21" s="11">
        <v>17219</v>
      </c>
      <c r="D21" s="12">
        <f t="shared" si="0"/>
        <v>0.44947662429194185</v>
      </c>
      <c r="E21" s="13">
        <v>320</v>
      </c>
      <c r="F21" s="13">
        <v>390</v>
      </c>
      <c r="G21" s="12">
        <f t="shared" si="1"/>
        <v>2.8899094888942604E-2</v>
      </c>
      <c r="H21" s="62">
        <f t="shared" si="2"/>
        <v>304162</v>
      </c>
    </row>
    <row r="22" spans="1:8" ht="19.5" customHeight="1" x14ac:dyDescent="0.25">
      <c r="A22" s="41" t="s">
        <v>55</v>
      </c>
      <c r="B22" s="15">
        <v>44998</v>
      </c>
      <c r="C22" s="15">
        <v>20532</v>
      </c>
      <c r="D22" s="16">
        <f t="shared" si="0"/>
        <v>0.45628694608649273</v>
      </c>
      <c r="E22" s="17">
        <v>370</v>
      </c>
      <c r="F22" s="17">
        <v>432</v>
      </c>
      <c r="G22" s="16">
        <f t="shared" si="1"/>
        <v>0.17460648933670939</v>
      </c>
      <c r="H22" s="61">
        <f t="shared" si="2"/>
        <v>349160</v>
      </c>
    </row>
    <row r="23" spans="1:8" ht="19.5" customHeight="1" x14ac:dyDescent="0.25">
      <c r="A23" s="60" t="s">
        <v>56</v>
      </c>
      <c r="B23" s="11">
        <v>54242</v>
      </c>
      <c r="C23" s="11">
        <v>24745</v>
      </c>
      <c r="D23" s="12">
        <f t="shared" si="0"/>
        <v>0.4561963054459644</v>
      </c>
      <c r="E23" s="13">
        <v>390</v>
      </c>
      <c r="F23" s="13">
        <v>491</v>
      </c>
      <c r="G23" s="12">
        <f t="shared" si="1"/>
        <v>0.20543135250455577</v>
      </c>
      <c r="H23" s="62">
        <f t="shared" si="2"/>
        <v>403402</v>
      </c>
    </row>
    <row r="24" spans="1:8" ht="19.5" customHeight="1" x14ac:dyDescent="0.25">
      <c r="A24" s="41" t="s">
        <v>57</v>
      </c>
      <c r="B24" s="15">
        <v>61773</v>
      </c>
      <c r="C24" s="15">
        <v>27402</v>
      </c>
      <c r="D24" s="16">
        <f t="shared" si="0"/>
        <v>0.44359186052158711</v>
      </c>
      <c r="E24" s="17">
        <v>422</v>
      </c>
      <c r="F24" s="17">
        <v>539</v>
      </c>
      <c r="G24" s="16">
        <f t="shared" si="1"/>
        <v>0.13884075070978208</v>
      </c>
      <c r="H24" s="61">
        <f t="shared" si="2"/>
        <v>465175</v>
      </c>
    </row>
    <row r="25" spans="1:8" ht="19.5" customHeight="1" x14ac:dyDescent="0.25">
      <c r="A25" s="60" t="s">
        <v>58</v>
      </c>
      <c r="B25" s="11">
        <v>57104</v>
      </c>
      <c r="C25" s="11">
        <v>26506</v>
      </c>
      <c r="D25" s="12">
        <f t="shared" si="0"/>
        <v>0.46417063603250208</v>
      </c>
      <c r="E25" s="13">
        <v>448</v>
      </c>
      <c r="F25" s="13">
        <v>559</v>
      </c>
      <c r="G25" s="19">
        <f t="shared" si="1"/>
        <v>-7.5583183591536762E-2</v>
      </c>
      <c r="H25" s="62">
        <f t="shared" si="2"/>
        <v>522279</v>
      </c>
    </row>
    <row r="26" spans="1:8" ht="19.5" customHeight="1" x14ac:dyDescent="0.25">
      <c r="A26" s="41" t="s">
        <v>59</v>
      </c>
      <c r="B26" s="15">
        <v>66035</v>
      </c>
      <c r="C26" s="15">
        <v>29414</v>
      </c>
      <c r="D26" s="16">
        <f t="shared" si="0"/>
        <v>0.44543045354736127</v>
      </c>
      <c r="E26" s="17">
        <v>507</v>
      </c>
      <c r="F26" s="17">
        <v>623</v>
      </c>
      <c r="G26" s="16">
        <f t="shared" si="1"/>
        <v>0.15639885121882879</v>
      </c>
      <c r="H26" s="61">
        <f t="shared" si="2"/>
        <v>588314</v>
      </c>
    </row>
    <row r="27" spans="1:8" ht="19.5" customHeight="1" x14ac:dyDescent="0.25">
      <c r="A27" s="60" t="s">
        <v>60</v>
      </c>
      <c r="B27" s="11">
        <v>62307</v>
      </c>
      <c r="C27" s="11">
        <v>28265</v>
      </c>
      <c r="D27" s="12">
        <f t="shared" si="0"/>
        <v>0.45364084292294604</v>
      </c>
      <c r="E27" s="13">
        <v>462</v>
      </c>
      <c r="F27" s="13">
        <v>576</v>
      </c>
      <c r="G27" s="19">
        <f t="shared" si="1"/>
        <v>-5.6454910274854241E-2</v>
      </c>
      <c r="H27" s="62">
        <f t="shared" si="2"/>
        <v>650621</v>
      </c>
    </row>
    <row r="28" spans="1:8" ht="19.5" customHeight="1" x14ac:dyDescent="0.25">
      <c r="A28" s="41" t="s">
        <v>61</v>
      </c>
      <c r="B28" s="15">
        <v>60696</v>
      </c>
      <c r="C28" s="15">
        <v>27391</v>
      </c>
      <c r="D28" s="16">
        <f t="shared" si="0"/>
        <v>0.45128179781204691</v>
      </c>
      <c r="E28" s="17">
        <v>449</v>
      </c>
      <c r="F28" s="17">
        <v>583</v>
      </c>
      <c r="G28" s="18">
        <f t="shared" si="1"/>
        <v>-2.5855842842698252E-2</v>
      </c>
      <c r="H28" s="61">
        <f t="shared" si="2"/>
        <v>711317</v>
      </c>
    </row>
    <row r="29" spans="1:8" ht="19.5" customHeight="1" x14ac:dyDescent="0.25">
      <c r="A29" s="60" t="s">
        <v>62</v>
      </c>
      <c r="B29" s="11">
        <v>71529</v>
      </c>
      <c r="C29" s="11">
        <v>32215</v>
      </c>
      <c r="D29" s="12">
        <f t="shared" si="0"/>
        <v>0.45037677026101303</v>
      </c>
      <c r="E29" s="13">
        <v>500</v>
      </c>
      <c r="F29" s="13">
        <v>649</v>
      </c>
      <c r="G29" s="12">
        <f t="shared" si="1"/>
        <v>0.17847963621984975</v>
      </c>
      <c r="H29" s="62">
        <f t="shared" si="2"/>
        <v>782846</v>
      </c>
    </row>
    <row r="30" spans="1:8" ht="19.5" customHeight="1" x14ac:dyDescent="0.25">
      <c r="A30" s="41" t="s">
        <v>63</v>
      </c>
      <c r="B30" s="15">
        <v>58456</v>
      </c>
      <c r="C30" s="15">
        <v>26742</v>
      </c>
      <c r="D30" s="16">
        <f t="shared" si="0"/>
        <v>0.45747228684822772</v>
      </c>
      <c r="E30" s="17">
        <v>413</v>
      </c>
      <c r="F30" s="17">
        <v>511</v>
      </c>
      <c r="G30" s="18">
        <f t="shared" si="1"/>
        <v>-0.18276503236449551</v>
      </c>
      <c r="H30" s="61">
        <f t="shared" si="2"/>
        <v>841302</v>
      </c>
    </row>
    <row r="31" spans="1:8" ht="19.5" customHeight="1" x14ac:dyDescent="0.25">
      <c r="A31" s="60" t="s">
        <v>64</v>
      </c>
      <c r="B31" s="11">
        <v>69704</v>
      </c>
      <c r="C31" s="11">
        <v>31384</v>
      </c>
      <c r="D31" s="12">
        <f t="shared" si="0"/>
        <v>0.45024675771835188</v>
      </c>
      <c r="E31" s="13">
        <v>471</v>
      </c>
      <c r="F31" s="13">
        <v>619</v>
      </c>
      <c r="G31" s="12">
        <f t="shared" si="1"/>
        <v>0.19241822909538797</v>
      </c>
      <c r="H31" s="62">
        <f t="shared" si="2"/>
        <v>911006</v>
      </c>
    </row>
    <row r="32" spans="1:8" ht="24" customHeight="1" x14ac:dyDescent="0.25">
      <c r="A32" s="82" t="s">
        <v>65</v>
      </c>
      <c r="B32" s="83">
        <f>SUM(B5:B31)</f>
        <v>911006</v>
      </c>
      <c r="C32" s="83">
        <f>SUM(C5:C31)</f>
        <v>411124</v>
      </c>
      <c r="D32" s="84">
        <f t="shared" si="0"/>
        <v>0.45128572149909002</v>
      </c>
      <c r="E32" s="85">
        <f>SUM(E5:E31)</f>
        <v>6922</v>
      </c>
      <c r="F32" s="85">
        <f>SUM(F5:F31)</f>
        <v>8486</v>
      </c>
      <c r="G32" s="86" t="s">
        <v>38</v>
      </c>
      <c r="H32" s="87" t="s">
        <v>38</v>
      </c>
    </row>
    <row r="34" spans="1:8" ht="21.75" customHeight="1" x14ac:dyDescent="0.25">
      <c r="A34" s="59" t="s">
        <v>129</v>
      </c>
      <c r="B34" s="59"/>
      <c r="C34" s="59"/>
      <c r="D34" s="59"/>
      <c r="E34" s="59"/>
      <c r="F34" s="59"/>
      <c r="G34" s="59"/>
      <c r="H34" s="59"/>
    </row>
    <row r="35" spans="1:8" ht="21.75" customHeight="1" x14ac:dyDescent="0.25">
      <c r="A35" s="59"/>
      <c r="B35" s="59"/>
      <c r="C35" s="59"/>
      <c r="D35" s="59"/>
      <c r="E35" s="59"/>
      <c r="F35" s="59"/>
      <c r="G35" s="59"/>
      <c r="H35" s="59"/>
    </row>
    <row r="36" spans="1:8" ht="21.75" customHeight="1" x14ac:dyDescent="0.25">
      <c r="A36" s="59"/>
      <c r="B36" s="59"/>
      <c r="C36" s="59"/>
      <c r="D36" s="59"/>
      <c r="E36" s="59"/>
      <c r="F36" s="59"/>
      <c r="G36" s="59"/>
      <c r="H36" s="59"/>
    </row>
  </sheetData>
  <mergeCells count="3">
    <mergeCell ref="A1:G1"/>
    <mergeCell ref="A2:G2"/>
    <mergeCell ref="A34:H36"/>
  </mergeCells>
  <conditionalFormatting sqref="B5:B31">
    <cfRule type="colorScale" priority="3">
      <colorScale>
        <cfvo type="min"/>
        <cfvo type="max"/>
        <color rgb="FFD6E4F0"/>
        <color rgb="FF0F4C81"/>
      </colorScale>
    </cfRule>
  </conditionalFormatting>
  <conditionalFormatting sqref="G6:G31">
    <cfRule type="dataBar" priority="2">
      <dataBar>
        <cfvo type="min"/>
        <cfvo type="max"/>
        <color rgb="FF27AE60"/>
      </dataBar>
      <extLst>
        <ext xmlns:x14="http://schemas.microsoft.com/office/spreadsheetml/2009/9/main" uri="{B025F937-C7B1-47D3-B67F-A62EFF666E3E}">
          <x14:id>{6B54FA12-451E-4558-A725-67E3BA46DB9D}</x14:id>
        </ext>
      </extLst>
    </cfRule>
  </conditionalFormatting>
  <pageMargins left="0.75" right="0.75" top="1" bottom="1" header="0.511811023622047" footer="0.511811023622047"/>
  <pageSetup paperSize="9" orientation="portrait" horizontalDpi="300" verticalDpi="300"/>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6B54FA12-451E-4558-A725-67E3BA46DB9D}">
            <x14:dataBar axisPosition="none">
              <x14:cfvo type="min"/>
              <x14:cfvo type="max"/>
              <x14:negativeFillColor rgb="FF27AE60"/>
            </x14:dataBar>
          </x14:cfRule>
          <xm:sqref>G6:G31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0"/>
  <sheetViews>
    <sheetView showGridLines="0" zoomScale="70" zoomScaleNormal="70" workbookViewId="0">
      <selection activeCell="S26" sqref="S26"/>
    </sheetView>
  </sheetViews>
  <sheetFormatPr defaultColWidth="8.7109375" defaultRowHeight="15" x14ac:dyDescent="0.25"/>
  <cols>
    <col min="1" max="1" width="22.5703125" customWidth="1"/>
    <col min="2" max="2" width="20" customWidth="1"/>
    <col min="3" max="3" width="24.140625" customWidth="1"/>
    <col min="4" max="4" width="22.140625" customWidth="1"/>
    <col min="5" max="5" width="23.42578125" customWidth="1"/>
    <col min="6" max="6" width="19" customWidth="1"/>
    <col min="7" max="7" width="24" customWidth="1"/>
    <col min="8" max="8" width="23.85546875" customWidth="1"/>
  </cols>
  <sheetData>
    <row r="1" spans="1:8" ht="37.5" customHeight="1" x14ac:dyDescent="0.25">
      <c r="A1" s="57" t="s">
        <v>66</v>
      </c>
      <c r="B1" s="57"/>
      <c r="C1" s="57"/>
      <c r="D1" s="57"/>
      <c r="E1" s="57"/>
      <c r="F1" s="57"/>
      <c r="G1" s="57"/>
    </row>
    <row r="2" spans="1:8" ht="18" customHeight="1" x14ac:dyDescent="0.25">
      <c r="A2" s="58" t="s">
        <v>67</v>
      </c>
      <c r="B2" s="58"/>
      <c r="C2" s="58"/>
      <c r="D2" s="58"/>
      <c r="E2" s="58"/>
      <c r="F2" s="58"/>
      <c r="G2" s="58"/>
    </row>
    <row r="3" spans="1:8" ht="9.75" customHeight="1" x14ac:dyDescent="0.25"/>
    <row r="4" spans="1:8" ht="24" customHeight="1" x14ac:dyDescent="0.25">
      <c r="A4" s="55" t="s">
        <v>68</v>
      </c>
      <c r="B4" s="55"/>
      <c r="C4" s="55"/>
      <c r="D4" s="55"/>
      <c r="E4" s="55"/>
      <c r="F4" s="55"/>
      <c r="G4" s="55"/>
    </row>
    <row r="5" spans="1:8" ht="25.5" customHeight="1" x14ac:dyDescent="0.25">
      <c r="A5" s="63" t="s">
        <v>69</v>
      </c>
      <c r="B5" s="64" t="s">
        <v>70</v>
      </c>
      <c r="C5" s="64" t="s">
        <v>71</v>
      </c>
      <c r="D5" s="64" t="s">
        <v>72</v>
      </c>
      <c r="E5" s="64" t="s">
        <v>73</v>
      </c>
      <c r="F5" s="64" t="s">
        <v>74</v>
      </c>
      <c r="G5" s="64" t="s">
        <v>75</v>
      </c>
      <c r="H5" s="65" t="s">
        <v>76</v>
      </c>
    </row>
    <row r="6" spans="1:8" ht="21.75" customHeight="1" x14ac:dyDescent="0.25">
      <c r="A6" s="38" t="s">
        <v>77</v>
      </c>
      <c r="B6" s="20">
        <v>1189</v>
      </c>
      <c r="C6" s="20">
        <v>62</v>
      </c>
      <c r="D6" s="21">
        <v>5.21E-2</v>
      </c>
      <c r="E6" s="22">
        <v>90120</v>
      </c>
      <c r="F6" s="22">
        <v>6962</v>
      </c>
      <c r="G6" s="22">
        <v>-83158</v>
      </c>
      <c r="H6" s="71">
        <v>1454</v>
      </c>
    </row>
    <row r="7" spans="1:8" ht="21.75" customHeight="1" x14ac:dyDescent="0.25">
      <c r="A7" s="60" t="s">
        <v>78</v>
      </c>
      <c r="B7" s="13">
        <v>3363</v>
      </c>
      <c r="C7" s="13">
        <v>102</v>
      </c>
      <c r="D7" s="23">
        <v>3.0300000000000001E-2</v>
      </c>
      <c r="E7" s="11">
        <v>126352</v>
      </c>
      <c r="F7" s="11">
        <v>12600</v>
      </c>
      <c r="G7" s="11">
        <v>-113752</v>
      </c>
      <c r="H7" s="62">
        <v>1239</v>
      </c>
    </row>
    <row r="8" spans="1:8" ht="21.75" customHeight="1" x14ac:dyDescent="0.25">
      <c r="A8" s="41" t="s">
        <v>79</v>
      </c>
      <c r="B8" s="17">
        <v>1731</v>
      </c>
      <c r="C8" s="17">
        <v>46</v>
      </c>
      <c r="D8" s="24">
        <v>2.6599999999999999E-2</v>
      </c>
      <c r="E8" s="15">
        <v>1797732</v>
      </c>
      <c r="F8" s="15">
        <v>5487</v>
      </c>
      <c r="G8" s="15">
        <v>-1792245</v>
      </c>
      <c r="H8" s="61">
        <v>39081</v>
      </c>
    </row>
    <row r="9" spans="1:8" ht="21.75" customHeight="1" x14ac:dyDescent="0.25">
      <c r="A9" s="60" t="s">
        <v>80</v>
      </c>
      <c r="B9" s="13">
        <v>1342</v>
      </c>
      <c r="C9" s="13">
        <v>35</v>
      </c>
      <c r="D9" s="23">
        <v>2.6100000000000002E-2</v>
      </c>
      <c r="E9" s="11">
        <v>25310</v>
      </c>
      <c r="F9" s="11">
        <v>4016</v>
      </c>
      <c r="G9" s="11">
        <v>-21294</v>
      </c>
      <c r="H9" s="62">
        <v>723</v>
      </c>
    </row>
    <row r="10" spans="1:8" ht="21.75" customHeight="1" x14ac:dyDescent="0.25">
      <c r="A10" s="41" t="s">
        <v>81</v>
      </c>
      <c r="B10" s="17">
        <v>2827</v>
      </c>
      <c r="C10" s="17">
        <v>50</v>
      </c>
      <c r="D10" s="24">
        <v>1.77E-2</v>
      </c>
      <c r="E10" s="15">
        <v>4616747</v>
      </c>
      <c r="F10" s="15">
        <v>5215</v>
      </c>
      <c r="G10" s="15">
        <v>-4611532</v>
      </c>
      <c r="H10" s="61">
        <v>92335</v>
      </c>
    </row>
    <row r="11" spans="1:8" ht="21.75" customHeight="1" x14ac:dyDescent="0.25">
      <c r="A11" s="66" t="s">
        <v>82</v>
      </c>
      <c r="B11" s="67">
        <v>862</v>
      </c>
      <c r="C11" s="67">
        <v>9</v>
      </c>
      <c r="D11" s="72">
        <v>1.04E-2</v>
      </c>
      <c r="E11" s="68">
        <v>574736</v>
      </c>
      <c r="F11" s="68">
        <v>1234</v>
      </c>
      <c r="G11" s="68">
        <v>-573502</v>
      </c>
      <c r="H11" s="70">
        <v>63860</v>
      </c>
    </row>
    <row r="18" spans="1:7" ht="9.75" customHeight="1" x14ac:dyDescent="0.25"/>
    <row r="19" spans="1:7" ht="24" customHeight="1" x14ac:dyDescent="0.25">
      <c r="A19" s="55" t="s">
        <v>83</v>
      </c>
      <c r="B19" s="55"/>
      <c r="C19" s="55"/>
      <c r="D19" s="55"/>
      <c r="E19" s="55"/>
      <c r="F19" s="55"/>
      <c r="G19" s="55"/>
    </row>
    <row r="20" spans="1:7" ht="25.5" customHeight="1" x14ac:dyDescent="0.25">
      <c r="A20" s="46" t="s">
        <v>84</v>
      </c>
      <c r="B20" s="47" t="s">
        <v>85</v>
      </c>
      <c r="C20" s="47" t="s">
        <v>86</v>
      </c>
      <c r="D20" s="47" t="s">
        <v>87</v>
      </c>
      <c r="E20" s="47" t="s">
        <v>88</v>
      </c>
      <c r="F20" s="47" t="s">
        <v>89</v>
      </c>
      <c r="G20" s="48" t="s">
        <v>90</v>
      </c>
    </row>
    <row r="21" spans="1:7" ht="21.75" customHeight="1" x14ac:dyDescent="0.25">
      <c r="A21" s="73" t="s">
        <v>8</v>
      </c>
      <c r="B21" s="25">
        <v>186</v>
      </c>
      <c r="C21" s="26">
        <v>155697</v>
      </c>
      <c r="D21" s="26">
        <v>837</v>
      </c>
      <c r="E21" s="26">
        <v>378</v>
      </c>
      <c r="F21" s="27">
        <v>0.13800000000000001</v>
      </c>
      <c r="G21" s="74" t="s">
        <v>123</v>
      </c>
    </row>
    <row r="22" spans="1:7" ht="21.75" customHeight="1" x14ac:dyDescent="0.25">
      <c r="A22" s="41" t="s">
        <v>91</v>
      </c>
      <c r="B22" s="17">
        <v>277</v>
      </c>
      <c r="C22" s="15">
        <v>183585</v>
      </c>
      <c r="D22" s="15">
        <v>663</v>
      </c>
      <c r="E22" s="15">
        <v>299</v>
      </c>
      <c r="F22" s="16">
        <v>0.186</v>
      </c>
      <c r="G22" s="45" t="s">
        <v>124</v>
      </c>
    </row>
    <row r="23" spans="1:7" ht="21.75" customHeight="1" x14ac:dyDescent="0.25">
      <c r="A23" s="60" t="s">
        <v>79</v>
      </c>
      <c r="B23" s="13">
        <v>132</v>
      </c>
      <c r="C23" s="11">
        <v>82278</v>
      </c>
      <c r="D23" s="11">
        <v>623</v>
      </c>
      <c r="E23" s="11">
        <v>281</v>
      </c>
      <c r="F23" s="12">
        <v>0.216</v>
      </c>
      <c r="G23" s="75" t="s">
        <v>125</v>
      </c>
    </row>
    <row r="24" spans="1:7" ht="21.75" customHeight="1" x14ac:dyDescent="0.25">
      <c r="A24" s="41" t="s">
        <v>92</v>
      </c>
      <c r="B24" s="17">
        <v>179</v>
      </c>
      <c r="C24" s="15">
        <v>105478</v>
      </c>
      <c r="D24" s="15">
        <v>589</v>
      </c>
      <c r="E24" s="15">
        <v>266</v>
      </c>
      <c r="F24" s="16">
        <v>0.20399999999999999</v>
      </c>
      <c r="G24" s="45" t="s">
        <v>124</v>
      </c>
    </row>
    <row r="25" spans="1:7" ht="21.75" customHeight="1" x14ac:dyDescent="0.25">
      <c r="A25" s="60" t="s">
        <v>78</v>
      </c>
      <c r="B25" s="13">
        <v>271</v>
      </c>
      <c r="C25" s="11">
        <v>156805</v>
      </c>
      <c r="D25" s="11">
        <v>579</v>
      </c>
      <c r="E25" s="11">
        <v>263</v>
      </c>
      <c r="F25" s="12">
        <v>0.29199999999999998</v>
      </c>
      <c r="G25" s="75" t="s">
        <v>126</v>
      </c>
    </row>
    <row r="26" spans="1:7" ht="21.75" customHeight="1" x14ac:dyDescent="0.25">
      <c r="A26" s="76" t="s">
        <v>81</v>
      </c>
      <c r="B26" s="77">
        <v>455</v>
      </c>
      <c r="C26" s="78">
        <v>227164</v>
      </c>
      <c r="D26" s="79">
        <v>499</v>
      </c>
      <c r="E26" s="78">
        <v>224</v>
      </c>
      <c r="F26" s="80">
        <v>0.24</v>
      </c>
      <c r="G26" s="81" t="s">
        <v>127</v>
      </c>
    </row>
    <row r="28" spans="1:7" ht="21.75" customHeight="1" x14ac:dyDescent="0.25">
      <c r="A28" s="59" t="s">
        <v>128</v>
      </c>
      <c r="B28" s="59"/>
      <c r="C28" s="59"/>
      <c r="D28" s="59"/>
      <c r="E28" s="59"/>
      <c r="F28" s="59"/>
      <c r="G28" s="59"/>
    </row>
    <row r="29" spans="1:7" ht="21.75" customHeight="1" x14ac:dyDescent="0.25">
      <c r="A29" s="59"/>
      <c r="B29" s="59"/>
      <c r="C29" s="59"/>
      <c r="D29" s="59"/>
      <c r="E29" s="59"/>
      <c r="F29" s="59"/>
      <c r="G29" s="59"/>
    </row>
    <row r="30" spans="1:7" ht="21.75" customHeight="1" x14ac:dyDescent="0.25">
      <c r="A30" s="59"/>
      <c r="B30" s="59"/>
      <c r="C30" s="59"/>
      <c r="D30" s="59"/>
      <c r="E30" s="59"/>
      <c r="F30" s="59"/>
      <c r="G30" s="59"/>
    </row>
  </sheetData>
  <mergeCells count="5">
    <mergeCell ref="A1:G1"/>
    <mergeCell ref="A2:G2"/>
    <mergeCell ref="A4:G4"/>
    <mergeCell ref="A19:G19"/>
    <mergeCell ref="A28:G30"/>
  </mergeCells>
  <pageMargins left="0.75" right="0.75" top="1" bottom="1" header="0.511811023622047" footer="0.511811023622047"/>
  <pageSetup paperSize="9" orientation="portrait" horizontalDpi="300" verticalDpi="300"/>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1"/>
  <sheetViews>
    <sheetView showGridLines="0" tabSelected="1" zoomScale="80" zoomScaleNormal="80" workbookViewId="0">
      <selection activeCell="O24" sqref="O24"/>
    </sheetView>
  </sheetViews>
  <sheetFormatPr defaultColWidth="8.7109375" defaultRowHeight="15" x14ac:dyDescent="0.25"/>
  <cols>
    <col min="1" max="1" width="22" customWidth="1"/>
    <col min="2" max="2" width="17.140625" customWidth="1"/>
    <col min="3" max="3" width="22.85546875" customWidth="1"/>
    <col min="4" max="4" width="21.140625" customWidth="1"/>
    <col min="5" max="6" width="19.85546875" customWidth="1"/>
    <col min="7" max="7" width="46.5703125" customWidth="1"/>
  </cols>
  <sheetData>
    <row r="1" spans="1:7" ht="37.5" customHeight="1" x14ac:dyDescent="0.25">
      <c r="A1" s="57" t="s">
        <v>93</v>
      </c>
      <c r="B1" s="57"/>
      <c r="C1" s="57"/>
      <c r="D1" s="57"/>
      <c r="E1" s="57"/>
      <c r="F1" s="57"/>
      <c r="G1" s="57"/>
    </row>
    <row r="2" spans="1:7" ht="18" customHeight="1" x14ac:dyDescent="0.25">
      <c r="A2" s="58" t="s">
        <v>94</v>
      </c>
      <c r="B2" s="58"/>
      <c r="C2" s="58"/>
      <c r="D2" s="58"/>
      <c r="E2" s="58"/>
      <c r="F2" s="58"/>
      <c r="G2" s="58"/>
    </row>
    <row r="3" spans="1:7" ht="9.75" customHeight="1" x14ac:dyDescent="0.25"/>
    <row r="4" spans="1:7" ht="24" customHeight="1" x14ac:dyDescent="0.25">
      <c r="A4" s="55" t="s">
        <v>95</v>
      </c>
      <c r="B4" s="55"/>
      <c r="C4" s="55"/>
      <c r="D4" s="55"/>
      <c r="E4" s="55"/>
      <c r="F4" s="55"/>
      <c r="G4" s="55"/>
    </row>
    <row r="5" spans="1:7" ht="25.5" customHeight="1" x14ac:dyDescent="0.25">
      <c r="A5" s="46" t="s">
        <v>96</v>
      </c>
      <c r="B5" s="47" t="s">
        <v>85</v>
      </c>
      <c r="C5" s="47" t="s">
        <v>97</v>
      </c>
      <c r="D5" s="47" t="s">
        <v>86</v>
      </c>
      <c r="E5" s="47" t="s">
        <v>98</v>
      </c>
      <c r="F5" s="47" t="s">
        <v>99</v>
      </c>
      <c r="G5" s="48" t="s">
        <v>100</v>
      </c>
    </row>
    <row r="6" spans="1:7" ht="27.75" customHeight="1" x14ac:dyDescent="0.25">
      <c r="A6" s="38" t="s">
        <v>101</v>
      </c>
      <c r="B6" s="20">
        <v>344</v>
      </c>
      <c r="C6" s="22">
        <v>964</v>
      </c>
      <c r="D6" s="22">
        <v>331489</v>
      </c>
      <c r="E6" s="28">
        <v>0.36399999999999999</v>
      </c>
      <c r="F6" s="22">
        <v>953</v>
      </c>
      <c r="G6" s="42" t="s">
        <v>102</v>
      </c>
    </row>
    <row r="7" spans="1:7" ht="27.75" customHeight="1" x14ac:dyDescent="0.25">
      <c r="A7" s="39" t="s">
        <v>103</v>
      </c>
      <c r="B7" s="29">
        <v>325</v>
      </c>
      <c r="C7" s="30">
        <v>752</v>
      </c>
      <c r="D7" s="30">
        <v>244515</v>
      </c>
      <c r="E7" s="31">
        <v>0.26800000000000002</v>
      </c>
      <c r="F7" s="30">
        <v>744</v>
      </c>
      <c r="G7" s="43" t="s">
        <v>104</v>
      </c>
    </row>
    <row r="8" spans="1:7" ht="27.75" customHeight="1" x14ac:dyDescent="0.25">
      <c r="A8" s="40" t="s">
        <v>105</v>
      </c>
      <c r="B8" s="32">
        <v>231</v>
      </c>
      <c r="C8" s="33">
        <v>669</v>
      </c>
      <c r="D8" s="33">
        <v>154633</v>
      </c>
      <c r="E8" s="34">
        <v>0.17</v>
      </c>
      <c r="F8" s="33">
        <v>686</v>
      </c>
      <c r="G8" s="44" t="s">
        <v>122</v>
      </c>
    </row>
    <row r="9" spans="1:7" ht="27.75" customHeight="1" x14ac:dyDescent="0.25">
      <c r="A9" s="41" t="s">
        <v>106</v>
      </c>
      <c r="B9" s="17">
        <v>100</v>
      </c>
      <c r="C9" s="15">
        <v>346</v>
      </c>
      <c r="D9" s="15">
        <v>34644</v>
      </c>
      <c r="E9" s="16">
        <v>3.7999999999999999E-2</v>
      </c>
      <c r="F9" s="15">
        <v>361</v>
      </c>
      <c r="G9" s="45" t="s">
        <v>107</v>
      </c>
    </row>
    <row r="10" spans="1:7" ht="27.75" customHeight="1" x14ac:dyDescent="0.25">
      <c r="A10" s="41" t="s">
        <v>108</v>
      </c>
      <c r="B10" s="17">
        <v>131</v>
      </c>
      <c r="C10" s="15">
        <v>344</v>
      </c>
      <c r="D10" s="15">
        <v>45031</v>
      </c>
      <c r="E10" s="16">
        <v>4.9000000000000002E-2</v>
      </c>
      <c r="F10" s="15">
        <v>354</v>
      </c>
      <c r="G10" s="45" t="s">
        <v>109</v>
      </c>
    </row>
    <row r="11" spans="1:7" ht="27.75" customHeight="1" x14ac:dyDescent="0.25">
      <c r="A11" s="49" t="s">
        <v>110</v>
      </c>
      <c r="B11" s="50">
        <v>369</v>
      </c>
      <c r="C11" s="51">
        <v>273</v>
      </c>
      <c r="D11" s="51">
        <v>100696</v>
      </c>
      <c r="E11" s="52">
        <v>0.111</v>
      </c>
      <c r="F11" s="51">
        <v>277</v>
      </c>
      <c r="G11" s="53" t="s">
        <v>111</v>
      </c>
    </row>
    <row r="13" spans="1:7" ht="9.75" customHeight="1" x14ac:dyDescent="0.25"/>
    <row r="14" spans="1:7" ht="24" customHeight="1" x14ac:dyDescent="0.25">
      <c r="A14" s="55" t="s">
        <v>112</v>
      </c>
      <c r="B14" s="55"/>
      <c r="C14" s="55"/>
      <c r="D14" s="55"/>
      <c r="E14" s="55"/>
      <c r="F14" s="55"/>
      <c r="G14" s="55"/>
    </row>
    <row r="15" spans="1:7" ht="25.5" customHeight="1" x14ac:dyDescent="0.25">
      <c r="A15" s="63" t="s">
        <v>113</v>
      </c>
      <c r="B15" s="64" t="s">
        <v>34</v>
      </c>
      <c r="C15" s="64" t="s">
        <v>114</v>
      </c>
      <c r="D15" s="64" t="s">
        <v>30</v>
      </c>
      <c r="E15" s="64" t="s">
        <v>31</v>
      </c>
      <c r="F15" s="64" t="s">
        <v>89</v>
      </c>
      <c r="G15" s="65" t="s">
        <v>115</v>
      </c>
    </row>
    <row r="16" spans="1:7" ht="21.75" customHeight="1" x14ac:dyDescent="0.25">
      <c r="A16" s="41" t="s">
        <v>116</v>
      </c>
      <c r="B16" s="17">
        <v>1331</v>
      </c>
      <c r="C16" s="15">
        <v>278254</v>
      </c>
      <c r="D16" s="15">
        <v>213146</v>
      </c>
      <c r="E16" s="15">
        <v>97282</v>
      </c>
      <c r="F16" s="16">
        <v>0.22</v>
      </c>
      <c r="G16" s="61">
        <v>65108</v>
      </c>
    </row>
    <row r="17" spans="1:7" ht="21.75" customHeight="1" x14ac:dyDescent="0.25">
      <c r="A17" s="60" t="s">
        <v>117</v>
      </c>
      <c r="B17" s="13">
        <v>1543</v>
      </c>
      <c r="C17" s="11">
        <v>241073</v>
      </c>
      <c r="D17" s="11">
        <v>183587</v>
      </c>
      <c r="E17" s="11">
        <v>81828</v>
      </c>
      <c r="F17" s="12">
        <v>0.23799999999999999</v>
      </c>
      <c r="G17" s="62">
        <v>57485</v>
      </c>
    </row>
    <row r="18" spans="1:7" ht="21.75" customHeight="1" x14ac:dyDescent="0.25">
      <c r="A18" s="41" t="s">
        <v>118</v>
      </c>
      <c r="B18" s="17">
        <v>1308</v>
      </c>
      <c r="C18" s="15">
        <v>212295</v>
      </c>
      <c r="D18" s="15">
        <v>169073</v>
      </c>
      <c r="E18" s="15">
        <v>73593</v>
      </c>
      <c r="F18" s="16">
        <v>0.2</v>
      </c>
      <c r="G18" s="61">
        <v>43222</v>
      </c>
    </row>
    <row r="19" spans="1:7" ht="21.75" customHeight="1" x14ac:dyDescent="0.25">
      <c r="A19" s="60" t="s">
        <v>119</v>
      </c>
      <c r="B19" s="13">
        <v>1309</v>
      </c>
      <c r="C19" s="11">
        <v>171494</v>
      </c>
      <c r="D19" s="11">
        <v>132310</v>
      </c>
      <c r="E19" s="11">
        <v>59185</v>
      </c>
      <c r="F19" s="12">
        <v>0.219</v>
      </c>
      <c r="G19" s="62">
        <v>39185</v>
      </c>
    </row>
    <row r="20" spans="1:7" ht="21.75" customHeight="1" x14ac:dyDescent="0.25">
      <c r="A20" s="41" t="s">
        <v>120</v>
      </c>
      <c r="B20" s="17">
        <v>1541</v>
      </c>
      <c r="C20" s="15">
        <v>167777</v>
      </c>
      <c r="D20" s="15">
        <v>130860</v>
      </c>
      <c r="E20" s="15">
        <v>58144</v>
      </c>
      <c r="F20" s="16">
        <v>0.215</v>
      </c>
      <c r="G20" s="61">
        <v>36918</v>
      </c>
    </row>
    <row r="21" spans="1:7" ht="21.75" customHeight="1" x14ac:dyDescent="0.25">
      <c r="A21" s="66" t="s">
        <v>121</v>
      </c>
      <c r="B21" s="67">
        <v>1454</v>
      </c>
      <c r="C21" s="68">
        <v>105531</v>
      </c>
      <c r="D21" s="68">
        <v>82031</v>
      </c>
      <c r="E21" s="68">
        <v>41091</v>
      </c>
      <c r="F21" s="69">
        <v>0.219</v>
      </c>
      <c r="G21" s="70">
        <v>23499</v>
      </c>
    </row>
  </sheetData>
  <mergeCells count="4">
    <mergeCell ref="A1:G1"/>
    <mergeCell ref="A2:G2"/>
    <mergeCell ref="A4:G4"/>
    <mergeCell ref="A14:G14"/>
  </mergeCells>
  <conditionalFormatting sqref="F16:F21">
    <cfRule type="colorScale" priority="2">
      <colorScale>
        <cfvo type="min"/>
        <cfvo type="max"/>
        <color rgb="FFC8F0D8"/>
        <color rgb="FFD94F3D"/>
      </colorScale>
    </cfRule>
  </conditionalFormatting>
  <conditionalFormatting sqref="G16:G21">
    <cfRule type="colorScale" priority="3">
      <colorScale>
        <cfvo type="min"/>
        <cfvo type="max"/>
        <color rgb="FFC8F0D8"/>
        <color rgb="FFD94F3D"/>
      </colorScale>
    </cfRule>
  </conditionalFormatting>
  <pageMargins left="0.75" right="0.75" top="1" bottom="1" header="0.511811023622047" footer="0.511811023622047"/>
  <pageSetup paperSize="9" orientation="portrait" horizontalDpi="300" verticalDpi="300"/>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Executive Summary</vt:lpstr>
      <vt:lpstr>Revenue Trends</vt:lpstr>
      <vt:lpstr>Campaign &amp; Channel ROI</vt:lpstr>
      <vt:lpstr>RFM Customer Segments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kelvin enoch</cp:lastModifiedBy>
  <cp:revision>0</cp:revision>
  <dcterms:created xsi:type="dcterms:W3CDTF">2026-05-16T20:24:06Z</dcterms:created>
  <dcterms:modified xsi:type="dcterms:W3CDTF">2026-05-19T13:37:40Z</dcterms:modified>
  <dc:language>en-US</dc:language>
</cp:coreProperties>
</file>